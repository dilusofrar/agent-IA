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eLivro" defaultThemeVersion="202300"/>
  <mc:AlternateContent xmlns:mc="http://schemas.openxmlformats.org/markup-compatibility/2006">
    <mc:Choice Requires="x15">
      <x15ac:absPath xmlns:x15ac="http://schemas.microsoft.com/office/spreadsheetml/2010/11/ac" url="C:\Users\gustavo_m\OneDrive - TSEA\Área de Trabalho\"/>
    </mc:Choice>
  </mc:AlternateContent>
  <xr:revisionPtr revIDLastSave="0" documentId="13_ncr:1_{85B9E8FA-A699-44A1-8C0C-60699178737B}" xr6:coauthVersionLast="47" xr6:coauthVersionMax="47" xr10:uidLastSave="{00000000-0000-0000-0000-000000000000}"/>
  <bookViews>
    <workbookView xWindow="-120" yWindow="-120" windowWidth="29040" windowHeight="15720" xr2:uid="{4220F756-5E04-4684-86F0-49B7E153CA23}"/>
  </bookViews>
  <sheets>
    <sheet name="Folha1" sheetId="1" r:id="rId1"/>
    <sheet name="CONFIG" sheetId="2" state="hidden" r:id="rId2"/>
  </sheets>
  <definedNames>
    <definedName name="_xleta.AND" hidden="1" xlm="1">#NAME?</definedName>
    <definedName name="_xleta.IF" hidden="1" xlm="1">#NAME?</definedName>
    <definedName name="data_progresso">IF(#REF!&gt;0,#REF!+(_xlfn.DAYS(#REF!,#REF!)*#REF!),0)</definedName>
    <definedName name="Início_do_projeto">#REF!</definedName>
    <definedName name="Semana_de_exibiçã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K33" i="1"/>
  <c r="J3" i="1"/>
  <c r="M5" i="1"/>
  <c r="M4" i="1"/>
  <c r="G33" i="1"/>
  <c r="H33" i="1"/>
  <c r="K5" i="1" l="1"/>
  <c r="K6" i="1"/>
  <c r="K7" i="1"/>
  <c r="K8" i="1"/>
  <c r="K13" i="1"/>
  <c r="K14" i="1"/>
  <c r="K18" i="1"/>
  <c r="K19" i="1"/>
  <c r="K20" i="1"/>
  <c r="K21" i="1"/>
  <c r="K27" i="1"/>
  <c r="K28" i="1"/>
  <c r="F41" i="1"/>
  <c r="G42" i="1"/>
  <c r="H42" i="1" s="1"/>
  <c r="F42" i="1" l="1"/>
  <c r="E3" i="1"/>
  <c r="E4" i="1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K24" i="1" s="1"/>
  <c r="G25" i="1"/>
  <c r="G26" i="1"/>
  <c r="G27" i="1"/>
  <c r="G28" i="1"/>
  <c r="G29" i="1"/>
  <c r="K29" i="1" s="1"/>
  <c r="G30" i="1"/>
  <c r="G31" i="1"/>
  <c r="G32" i="1"/>
  <c r="G3" i="1"/>
  <c r="N3" i="1"/>
  <c r="K9" i="1" l="1"/>
  <c r="K16" i="1"/>
  <c r="K25" i="1"/>
  <c r="K17" i="1"/>
  <c r="K32" i="1"/>
  <c r="K22" i="1"/>
  <c r="K30" i="1"/>
  <c r="K15" i="1"/>
  <c r="K4" i="1"/>
  <c r="K12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G46" i="1" s="1"/>
  <c r="K31" i="1"/>
  <c r="K23" i="1"/>
  <c r="K26" i="1"/>
  <c r="K10" i="1"/>
  <c r="K3" i="1"/>
  <c r="K11" i="1"/>
  <c r="B13" i="1" l="1"/>
  <c r="B14" i="1" s="1"/>
</calcChain>
</file>

<file path=xl/sharedStrings.xml><?xml version="1.0" encoding="utf-8"?>
<sst xmlns="http://schemas.openxmlformats.org/spreadsheetml/2006/main" count="447" uniqueCount="38">
  <si>
    <t>min</t>
  </si>
  <si>
    <t>h</t>
  </si>
  <si>
    <t>Horário de entrada</t>
  </si>
  <si>
    <t>Horário de retorno almoço</t>
  </si>
  <si>
    <t>Horário de saída</t>
  </si>
  <si>
    <t>Horário de início almoço</t>
  </si>
  <si>
    <t>Total diário</t>
  </si>
  <si>
    <t>DATA</t>
  </si>
  <si>
    <t>ENTRADA</t>
  </si>
  <si>
    <t>ALMOÇO</t>
  </si>
  <si>
    <t>RETORNO</t>
  </si>
  <si>
    <t>SAÍDA</t>
  </si>
  <si>
    <t>TOTAL</t>
  </si>
  <si>
    <t>SALDO</t>
  </si>
  <si>
    <t>SALDO (min.)</t>
  </si>
  <si>
    <t>HORÁRIOS</t>
  </si>
  <si>
    <t>PERÍODO</t>
  </si>
  <si>
    <t>Natal</t>
  </si>
  <si>
    <t>Proclamação da República</t>
  </si>
  <si>
    <t>Finados</t>
  </si>
  <si>
    <t>Nossa Senhora Aparecida</t>
  </si>
  <si>
    <t>Independência</t>
  </si>
  <si>
    <t>Corpo de Cristo</t>
  </si>
  <si>
    <t>Dia do Trabalhador</t>
  </si>
  <si>
    <t>Páscoa</t>
  </si>
  <si>
    <t>Tiradentes</t>
  </si>
  <si>
    <t>Paixão de Cristo</t>
  </si>
  <si>
    <t>Carnaval</t>
  </si>
  <si>
    <t>Confraternização Universal</t>
  </si>
  <si>
    <t>Consciência negra</t>
  </si>
  <si>
    <t>Ponte Ano Novo</t>
  </si>
  <si>
    <t>Ponte Natal</t>
  </si>
  <si>
    <t>Ano</t>
  </si>
  <si>
    <t>Feriado</t>
  </si>
  <si>
    <t>Data</t>
  </si>
  <si>
    <t>Feriados</t>
  </si>
  <si>
    <t>Ponte</t>
  </si>
  <si>
    <t>rev.0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</si>
</sst>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[$-F400]h:mm:ss\ AM/PM"/>
  </numFmts>
  <fonts count="8" x14ac:knownFonts="1">
    <font>
      <sz val="11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2" borderId="0" xfId="0" applyFont="1" applyFill="1" applyAlignment="1">
      <alignment horizontal="center" vertical="center"/>
    </xf>
    <xf numFmtId="16" fontId="2" fillId="2" borderId="0" xfId="0" applyNumberFormat="1" applyFont="1" applyFill="1" applyAlignment="1">
      <alignment horizontal="center" vertical="center"/>
    </xf>
    <xf numFmtId="20" fontId="2" fillId="2" borderId="0" xfId="0" applyNumberFormat="1" applyFont="1" applyFill="1" applyAlignment="1">
      <alignment horizontal="center" vertical="center"/>
    </xf>
    <xf numFmtId="16" fontId="2" fillId="3" borderId="3" xfId="0" applyNumberFormat="1" applyFont="1" applyFill="1" applyBorder="1" applyAlignment="1">
      <alignment horizontal="center" vertical="center"/>
    </xf>
    <xf numFmtId="16" fontId="2" fillId="3" borderId="4" xfId="0" applyNumberFormat="1" applyFont="1" applyFill="1" applyBorder="1" applyAlignment="1">
      <alignment horizontal="center" vertical="center"/>
    </xf>
    <xf numFmtId="20" fontId="2" fillId="3" borderId="1" xfId="0" applyNumberFormat="1" applyFont="1" applyFill="1" applyBorder="1" applyAlignment="1">
      <alignment vertical="center"/>
    </xf>
    <xf numFmtId="20" fontId="2" fillId="3" borderId="9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20" fontId="2" fillId="3" borderId="10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5" fontId="2" fillId="3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vertical="center"/>
    </xf>
    <xf numFmtId="20" fontId="2" fillId="3" borderId="12" xfId="0" applyNumberFormat="1" applyFont="1" applyFill="1" applyBorder="1" applyAlignment="1">
      <alignment horizontal="center" vertical="center"/>
    </xf>
    <xf numFmtId="20" fontId="1" fillId="2" borderId="0" xfId="0" applyNumberFormat="1" applyFont="1" applyFill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4" fontId="2" fillId="3" borderId="16" xfId="0" applyNumberFormat="1" applyFont="1" applyFill="1" applyBorder="1" applyAlignment="1">
      <alignment horizontal="center" vertical="center"/>
    </xf>
    <xf numFmtId="20" fontId="2" fillId="3" borderId="14" xfId="0" applyNumberFormat="1" applyFont="1" applyFill="1" applyBorder="1" applyAlignment="1">
      <alignment horizontal="center" vertical="center"/>
    </xf>
    <xf numFmtId="20" fontId="2" fillId="3" borderId="15" xfId="0" applyNumberFormat="1" applyFont="1" applyFill="1" applyBorder="1" applyAlignment="1">
      <alignment horizontal="center" vertical="center"/>
    </xf>
    <xf numFmtId="20" fontId="2" fillId="3" borderId="16" xfId="0" applyNumberFormat="1" applyFont="1" applyFill="1" applyBorder="1" applyAlignment="1">
      <alignment horizontal="center" vertical="center"/>
    </xf>
    <xf numFmtId="20" fontId="2" fillId="3" borderId="17" xfId="0" applyNumberFormat="1" applyFont="1" applyFill="1" applyBorder="1" applyAlignment="1">
      <alignment horizontal="center" vertical="center"/>
    </xf>
    <xf numFmtId="20" fontId="2" fillId="3" borderId="18" xfId="0" applyNumberFormat="1" applyFont="1" applyFill="1" applyBorder="1" applyAlignment="1">
      <alignment horizontal="center" vertical="center"/>
    </xf>
    <xf numFmtId="20" fontId="2" fillId="3" borderId="19" xfId="0" applyNumberFormat="1" applyFont="1" applyFill="1" applyBorder="1" applyAlignment="1">
      <alignment horizontal="center" vertical="center"/>
    </xf>
    <xf numFmtId="0" fontId="4" fillId="0" borderId="0" xfId="0" applyFont="1"/>
    <xf numFmtId="14" fontId="4" fillId="0" borderId="0" xfId="0" applyNumberFormat="1" applyFont="1"/>
    <xf numFmtId="0" fontId="4" fillId="0" borderId="23" xfId="0" applyFont="1" applyBorder="1"/>
    <xf numFmtId="0" fontId="4" fillId="0" borderId="24" xfId="0" applyFont="1" applyBorder="1"/>
    <xf numFmtId="14" fontId="4" fillId="0" borderId="25" xfId="0" applyNumberFormat="1" applyFont="1" applyBorder="1"/>
    <xf numFmtId="0" fontId="4" fillId="0" borderId="26" xfId="0" applyFont="1" applyBorder="1"/>
    <xf numFmtId="0" fontId="4" fillId="0" borderId="27" xfId="0" applyFont="1" applyBorder="1"/>
    <xf numFmtId="14" fontId="4" fillId="0" borderId="28" xfId="0" applyNumberFormat="1" applyFont="1" applyBorder="1"/>
    <xf numFmtId="0" fontId="5" fillId="5" borderId="26" xfId="0" applyFont="1" applyFill="1" applyBorder="1"/>
    <xf numFmtId="0" fontId="5" fillId="5" borderId="27" xfId="0" applyFont="1" applyFill="1" applyBorder="1"/>
    <xf numFmtId="14" fontId="5" fillId="5" borderId="28" xfId="0" applyNumberFormat="1" applyFont="1" applyFill="1" applyBorder="1"/>
    <xf numFmtId="1" fontId="2" fillId="3" borderId="20" xfId="0" applyNumberFormat="1" applyFont="1" applyFill="1" applyBorder="1" applyAlignment="1">
      <alignment horizontal="center" vertical="center"/>
    </xf>
    <xf numFmtId="1" fontId="2" fillId="3" borderId="21" xfId="0" applyNumberFormat="1" applyFont="1" applyFill="1" applyBorder="1" applyAlignment="1">
      <alignment horizontal="center" vertical="center"/>
    </xf>
    <xf numFmtId="1" fontId="2" fillId="3" borderId="22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" fontId="2" fillId="3" borderId="9" xfId="0" applyNumberFormat="1" applyFont="1" applyFill="1" applyBorder="1" applyAlignment="1">
      <alignment horizontal="center" vertical="center"/>
    </xf>
    <xf numFmtId="16" fontId="2" fillId="3" borderId="1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right" vertical="top"/>
    </xf>
    <xf numFmtId="14" fontId="7" fillId="2" borderId="0" xfId="0" applyNumberFormat="1" applyFont="1" applyFill="1" applyAlignment="1">
      <alignment horizontal="center" vertical="top"/>
    </xf>
    <xf numFmtId="0" fontId="2" fillId="4" borderId="6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14" fontId="2" fillId="3" borderId="6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ill>
        <patternFill patternType="lightDown">
          <fgColor rgb="FFFF0000"/>
        </patternFill>
      </fill>
    </dxf>
    <dxf>
      <font>
        <color theme="2" tint="-9.9948118533890809E-2"/>
      </font>
      <fill>
        <patternFill patternType="solid">
          <fgColor theme="2" tint="-9.9948118533890809E-2"/>
          <bgColor theme="2" tint="-9.9948118533890809E-2"/>
        </patternFill>
      </fill>
      <border>
        <left/>
        <right/>
        <bottom/>
      </border>
    </dxf>
    <dxf>
      <border>
        <top/>
      </border>
    </dxf>
    <dxf>
      <fill>
        <patternFill patternType="lightDown">
          <fgColor theme="2" tint="-0.24994659260841701"/>
        </patternFill>
      </fill>
    </dxf>
    <dxf>
      <fill>
        <patternFill>
          <bgColor rgb="FFFFA7A7"/>
        </patternFill>
      </fill>
    </dxf>
    <dxf>
      <fill>
        <patternFill>
          <bgColor theme="9" tint="0.79998168889431442"/>
        </patternFill>
      </fill>
    </dxf>
    <dxf>
      <fill>
        <patternFill>
          <bgColor rgb="FFFFA7A7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A7A7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914400</xdr:colOff>
          <xdr:row>1</xdr:row>
          <xdr:rowOff>28575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C9830-03A7-48C7-A083-AAC1AB30AE34}">
  <sheetPr codeName="Folha1"/>
  <dimension ref="A1:O46"/>
  <sheetViews>
    <sheetView showGridLines="0" tabSelected="1" zoomScaleNormal="100" workbookViewId="0">
      <selection activeCell="B16" sqref="B16"/>
    </sheetView>
  </sheetViews>
  <sheetFormatPr defaultColWidth="14.140625" defaultRowHeight="18" customHeight="1" x14ac:dyDescent="0.25"/>
  <cols>
    <col min="1" max="1" width="4.7109375" style="1" customWidth="1"/>
    <col min="2" max="2" width="24.7109375" style="1" bestFit="1" customWidth="1"/>
    <col min="3" max="3" width="14.140625" style="1"/>
    <col min="4" max="4" width="4.7109375" style="1" customWidth="1"/>
    <col min="5" max="16384" width="14.140625" style="1"/>
  </cols>
  <sheetData>
    <row r="1" spans="1:15" ht="18" customHeight="1" thickBot="1" x14ac:dyDescent="0.3">
      <c r="B1" s="47"/>
      <c r="C1" s="46"/>
    </row>
    <row r="2" spans="1:15" ht="18" customHeight="1" thickBot="1" x14ac:dyDescent="0.3">
      <c r="B2" s="50" t="s">
        <v>15</v>
      </c>
      <c r="C2" s="51"/>
      <c r="E2" s="13" t="s">
        <v>7</v>
      </c>
      <c r="F2" s="14" t="s">
        <v>8</v>
      </c>
      <c r="G2" s="14" t="s">
        <v>9</v>
      </c>
      <c r="H2" s="14" t="s">
        <v>10</v>
      </c>
      <c r="I2" s="14" t="s">
        <v>11</v>
      </c>
      <c r="J2" s="14" t="s">
        <v>12</v>
      </c>
      <c r="K2" s="15" t="s">
        <v>14</v>
      </c>
    </row>
    <row r="3" spans="1:15" ht="18" customHeight="1" x14ac:dyDescent="0.25">
      <c r="A3" s="2"/>
      <c r="B3" s="6" t="s">
        <v>2</v>
      </c>
      <c r="C3" s="7">
        <v>0.32291666666666669</v>
      </c>
      <c r="E3" s="44">
        <f>B10</f>
        <v>45763</v>
      </c>
      <c r="F3" s="25"/>
      <c r="G3" s="22">
        <f t="shared" ref="G3:G33" si="0">$C$4</f>
        <v>0.5</v>
      </c>
      <c r="H3" s="25">
        <f t="shared" ref="H3:H33" si="1">$C$5</f>
        <v>0.54166666666666663</v>
      </c>
      <c r="I3" s="25"/>
      <c r="J3" s="19">
        <f>IF(IFERROR(IF(I3&gt;=$C$5,IF(AND(I3&gt;=$C$6,I3&lt;=$F$41),IF(AND(F3&gt;=$H$42,F3&lt;=$F$42),($C$6-$C$3)-(H3-G3),($C$6-F3)-(H3-G3)),IF(AND(F3&gt;=$H$42,F3&lt;=$F$42),(I3-$C$3)-(H3-G3),(I3-F3)-(H3-G3))),IF(AND(I3&lt;=$C$5,I3&gt;=$C$4),IF(AND(F3&gt;=$H$42,F3&lt;=$F$42),($C$4-F3),($C$6-F3)),I3-F3)),"")&gt;=0,IFERROR(IF(I3&gt;=$C$5,IF(AND(I3&gt;=$C$6,I3&lt;=$F$41),IF(AND(F3&gt;=$H$42,F3&lt;=$F$42),($C$6-$C$3)-(H3-G3),($C$6-F3)-(H3-G3)),IF(AND(F3&gt;=$H$42,F3&lt;=$F$42),(I3-$C$3)-(H3-G3),(I3-F3)-(H3-G3))),IF(AND(I3&lt;=$C$5,I3&gt;=$C$4),IF(AND(F3&gt;=$H$42,F3&lt;=$F$42),($C$4-F3),($C$6-F3)),I3-F3)),""),"")</f>
        <v>0</v>
      </c>
      <c r="K3" s="39">
        <f t="shared" ref="K3:K33" si="2">IFERROR(IF($G$40=F3,$G$40*24*60,(J3-$C$7)*24*60),"")</f>
        <v>0</v>
      </c>
      <c r="M3" s="45"/>
      <c r="N3" s="1" t="str">
        <f>IF(OR(I3&gt;=C6,I3&lt;=F41),"","")</f>
        <v/>
      </c>
    </row>
    <row r="4" spans="1:15" ht="18" customHeight="1" x14ac:dyDescent="0.25">
      <c r="A4" s="2"/>
      <c r="B4" s="8" t="s">
        <v>5</v>
      </c>
      <c r="C4" s="9">
        <v>0.5</v>
      </c>
      <c r="E4" s="4">
        <f>E3+1</f>
        <v>45764</v>
      </c>
      <c r="F4" s="26"/>
      <c r="G4" s="23">
        <f t="shared" si="0"/>
        <v>0.5</v>
      </c>
      <c r="H4" s="26">
        <f t="shared" si="1"/>
        <v>0.54166666666666663</v>
      </c>
      <c r="I4" s="26"/>
      <c r="J4" s="20">
        <f t="shared" ref="J4:J33" si="3">IF(IFERROR(IF(I4&gt;=$C$5,IF(AND(I4&gt;=$C$6,I4&lt;=$F$41),IF(AND(F4&gt;=$H$42,F4&lt;=$F$42),($C$6-$C$3)-(H4-G4),($C$6-F4)-(H4-G4)),IF(AND(F4&gt;=$H$42,F4&lt;=$F$42),(I4-$C$3)-(H4-G4),(I4-F4)-(H4-G4))),IF(AND(I4&lt;=$C$5,I4&gt;=$C$4),IF(AND(F4&gt;=$H$42,F4&lt;=$F$42),($C$4-F4),($C$6-F4)),I4-F4)),"")&gt;=0,IFERROR(IF(I4&gt;=$C$5,IF(AND(I4&gt;=$C$6,I4&lt;=$F$41),IF(AND(F4&gt;=$H$42,F4&lt;=$F$42),($C$6-$C$3)-(H4-G4),($C$6-F4)-(H4-G4)),IF(AND(F4&gt;=$H$42,F4&lt;=$F$42),(I4-$C$3)-(H4-G4),(I4-F4)-(H4-G4))),IF(AND(I4&lt;=$C$5,I4&gt;=$C$4),IF(AND(F4&gt;=$H$42,F4&lt;=$F$42),($C$4-F4),($C$6-F4)),I4-F4)),""),"")</f>
        <v>0</v>
      </c>
      <c r="K4" s="40">
        <f t="shared" si="2"/>
        <v>0</v>
      </c>
      <c r="M4" s="42">
        <f>IF(I3&gt;=C5,IF(AND(I3&gt;=$C$6,I3&lt;=$F$41),IF(AND(F3&gt;=$H$42,F3&lt;=$F$42),($C$6-$C$3)-(H3-G3),($C$6-F3)-(H3-G3)),IF(AND(F3&gt;=$H$42,F3&lt;=$F$42),(I3-$C$3)-(H3-G3),(I3-F3)-(H3-G3))),IF(AND(I3&lt;=$C$5,I3&gt;=$C$4),IF(AND(F3&gt;=$H$42,F3&lt;=$F$42),($C$4-F3),($C$6-F3)),I3-F3))</f>
        <v>0</v>
      </c>
    </row>
    <row r="5" spans="1:15" ht="18" customHeight="1" x14ac:dyDescent="0.25">
      <c r="A5" s="2"/>
      <c r="B5" s="8" t="s">
        <v>3</v>
      </c>
      <c r="C5" s="9">
        <v>0.54166666666666663</v>
      </c>
      <c r="E5" s="4">
        <f t="shared" ref="E5:E32" si="4">E4+1</f>
        <v>45765</v>
      </c>
      <c r="F5" s="26"/>
      <c r="G5" s="23">
        <f t="shared" si="0"/>
        <v>0.5</v>
      </c>
      <c r="H5" s="26">
        <f t="shared" si="1"/>
        <v>0.54166666666666663</v>
      </c>
      <c r="I5" s="26"/>
      <c r="J5" s="20">
        <f t="shared" si="3"/>
        <v>0</v>
      </c>
      <c r="K5" s="40">
        <f t="shared" si="2"/>
        <v>0</v>
      </c>
      <c r="M5" s="42">
        <f>IF(AND(I4&gt;=$C$6,I4&lt;=$F$41),IF(AND(F4&gt;=$H$42,F4&lt;=$F$42),($C$6-$C$3)-(H4-G4),($C$6-F4)-(H4-G4)),IF(AND(F4&gt;=$H$42,F4&lt;=$F$42),(I4-$C$3)-(H4-G4),(I4-F4)-(H4-G4)))</f>
        <v>-4.166666666666663E-2</v>
      </c>
    </row>
    <row r="6" spans="1:15" ht="18" customHeight="1" x14ac:dyDescent="0.25">
      <c r="A6" s="2"/>
      <c r="B6" s="8" t="s">
        <v>4</v>
      </c>
      <c r="C6" s="9">
        <v>0.70833333333333337</v>
      </c>
      <c r="E6" s="4">
        <f t="shared" si="4"/>
        <v>45766</v>
      </c>
      <c r="F6" s="26"/>
      <c r="G6" s="23">
        <f t="shared" si="0"/>
        <v>0.5</v>
      </c>
      <c r="H6" s="26">
        <f t="shared" si="1"/>
        <v>0.54166666666666663</v>
      </c>
      <c r="I6" s="26"/>
      <c r="J6" s="20">
        <f t="shared" si="3"/>
        <v>0</v>
      </c>
      <c r="K6" s="40">
        <f t="shared" si="2"/>
        <v>0</v>
      </c>
    </row>
    <row r="7" spans="1:15" ht="18" customHeight="1" thickBot="1" x14ac:dyDescent="0.3">
      <c r="A7" s="2"/>
      <c r="B7" s="16" t="s">
        <v>6</v>
      </c>
      <c r="C7" s="17">
        <v>0.34375</v>
      </c>
      <c r="E7" s="4">
        <f t="shared" si="4"/>
        <v>45767</v>
      </c>
      <c r="F7" s="26"/>
      <c r="G7" s="23">
        <f t="shared" si="0"/>
        <v>0.5</v>
      </c>
      <c r="H7" s="26">
        <f t="shared" si="1"/>
        <v>0.54166666666666663</v>
      </c>
      <c r="I7" s="26"/>
      <c r="J7" s="20">
        <f t="shared" si="3"/>
        <v>0</v>
      </c>
      <c r="K7" s="40">
        <f t="shared" si="2"/>
        <v>0</v>
      </c>
    </row>
    <row r="8" spans="1:15" ht="18" customHeight="1" thickBot="1" x14ac:dyDescent="0.3">
      <c r="A8" s="2"/>
      <c r="E8" s="4">
        <f t="shared" si="4"/>
        <v>45768</v>
      </c>
      <c r="F8" s="26"/>
      <c r="G8" s="23">
        <f t="shared" si="0"/>
        <v>0.5</v>
      </c>
      <c r="H8" s="26">
        <f t="shared" si="1"/>
        <v>0.54166666666666663</v>
      </c>
      <c r="I8" s="26"/>
      <c r="J8" s="20">
        <f t="shared" si="3"/>
        <v>0</v>
      </c>
      <c r="K8" s="40">
        <f t="shared" si="2"/>
        <v>0</v>
      </c>
    </row>
    <row r="9" spans="1:15" ht="18" customHeight="1" thickBot="1" x14ac:dyDescent="0.3">
      <c r="A9" s="2"/>
      <c r="B9" s="50" t="s">
        <v>16</v>
      </c>
      <c r="C9" s="51"/>
      <c r="E9" s="4">
        <f t="shared" si="4"/>
        <v>45769</v>
      </c>
      <c r="F9" s="26"/>
      <c r="G9" s="23">
        <f t="shared" si="0"/>
        <v>0.5</v>
      </c>
      <c r="H9" s="26">
        <f t="shared" si="1"/>
        <v>0.54166666666666663</v>
      </c>
      <c r="I9" s="26"/>
      <c r="J9" s="20">
        <f t="shared" si="3"/>
        <v>0</v>
      </c>
      <c r="K9" s="40">
        <f t="shared" si="2"/>
        <v>0</v>
      </c>
    </row>
    <row r="10" spans="1:15" ht="18" customHeight="1" thickBot="1" x14ac:dyDescent="0.3">
      <c r="A10" s="2"/>
      <c r="B10" s="52">
        <v>45763</v>
      </c>
      <c r="C10" s="53"/>
      <c r="E10" s="4">
        <f t="shared" si="4"/>
        <v>45770</v>
      </c>
      <c r="F10" s="26"/>
      <c r="G10" s="23">
        <f t="shared" si="0"/>
        <v>0.5</v>
      </c>
      <c r="H10" s="26">
        <f t="shared" si="1"/>
        <v>0.54166666666666663</v>
      </c>
      <c r="I10" s="26"/>
      <c r="J10" s="20">
        <f t="shared" si="3"/>
        <v>0</v>
      </c>
      <c r="K10" s="40">
        <f t="shared" si="2"/>
        <v>0</v>
      </c>
    </row>
    <row r="11" spans="1:15" ht="18" customHeight="1" thickBot="1" x14ac:dyDescent="0.3">
      <c r="A11" s="2"/>
      <c r="E11" s="4">
        <f t="shared" si="4"/>
        <v>45771</v>
      </c>
      <c r="F11" s="26"/>
      <c r="G11" s="23">
        <f t="shared" si="0"/>
        <v>0.5</v>
      </c>
      <c r="H11" s="26">
        <f t="shared" si="1"/>
        <v>0.54166666666666663</v>
      </c>
      <c r="I11" s="26"/>
      <c r="J11" s="20">
        <f t="shared" si="3"/>
        <v>0</v>
      </c>
      <c r="K11" s="40">
        <f t="shared" si="2"/>
        <v>0</v>
      </c>
      <c r="M11" s="3"/>
      <c r="N11" s="3"/>
      <c r="O11" s="3"/>
    </row>
    <row r="12" spans="1:15" ht="18" customHeight="1" thickBot="1" x14ac:dyDescent="0.3">
      <c r="A12" s="2"/>
      <c r="B12" s="50" t="s">
        <v>13</v>
      </c>
      <c r="C12" s="51"/>
      <c r="E12" s="4">
        <f t="shared" si="4"/>
        <v>45772</v>
      </c>
      <c r="F12" s="26"/>
      <c r="G12" s="23">
        <f t="shared" si="0"/>
        <v>0.5</v>
      </c>
      <c r="H12" s="26">
        <f t="shared" si="1"/>
        <v>0.54166666666666663</v>
      </c>
      <c r="I12" s="26"/>
      <c r="J12" s="20">
        <f t="shared" si="3"/>
        <v>0</v>
      </c>
      <c r="K12" s="40">
        <f t="shared" si="2"/>
        <v>0</v>
      </c>
      <c r="M12" s="3"/>
    </row>
    <row r="13" spans="1:15" ht="18" customHeight="1" x14ac:dyDescent="0.25">
      <c r="A13" s="2"/>
      <c r="B13" s="43">
        <f>IF(G46=15,SUM(K3:K33),SUM(K3:K32))</f>
        <v>0</v>
      </c>
      <c r="C13" s="10" t="s">
        <v>0</v>
      </c>
      <c r="E13" s="4">
        <f t="shared" si="4"/>
        <v>45773</v>
      </c>
      <c r="F13" s="26"/>
      <c r="G13" s="23">
        <f t="shared" si="0"/>
        <v>0.5</v>
      </c>
      <c r="H13" s="26">
        <f t="shared" si="1"/>
        <v>0.54166666666666663</v>
      </c>
      <c r="I13" s="26"/>
      <c r="J13" s="20">
        <f t="shared" si="3"/>
        <v>0</v>
      </c>
      <c r="K13" s="40">
        <f t="shared" si="2"/>
        <v>0</v>
      </c>
    </row>
    <row r="14" spans="1:15" ht="18" customHeight="1" thickBot="1" x14ac:dyDescent="0.3">
      <c r="A14" s="2"/>
      <c r="B14" s="11">
        <f>IF((B13/60)/24&lt;0,-(B13/60)/24,(B13/60)/24)</f>
        <v>0</v>
      </c>
      <c r="C14" s="12" t="s">
        <v>1</v>
      </c>
      <c r="E14" s="4">
        <f t="shared" si="4"/>
        <v>45774</v>
      </c>
      <c r="F14" s="26"/>
      <c r="G14" s="23">
        <f t="shared" si="0"/>
        <v>0.5</v>
      </c>
      <c r="H14" s="26">
        <f t="shared" si="1"/>
        <v>0.54166666666666663</v>
      </c>
      <c r="I14" s="26"/>
      <c r="J14" s="20">
        <f t="shared" si="3"/>
        <v>0</v>
      </c>
      <c r="K14" s="40">
        <f t="shared" si="2"/>
        <v>0</v>
      </c>
    </row>
    <row r="15" spans="1:15" ht="18" customHeight="1" x14ac:dyDescent="0.25">
      <c r="A15" s="2"/>
      <c r="B15" s="48" t="s">
        <v>37</v>
      </c>
      <c r="C15" s="49">
        <v>45796</v>
      </c>
      <c r="E15" s="4">
        <f t="shared" si="4"/>
        <v>45775</v>
      </c>
      <c r="F15" s="26"/>
      <c r="G15" s="23">
        <f t="shared" si="0"/>
        <v>0.5</v>
      </c>
      <c r="H15" s="26">
        <f t="shared" si="1"/>
        <v>0.54166666666666663</v>
      </c>
      <c r="I15" s="26"/>
      <c r="J15" s="20">
        <f t="shared" si="3"/>
        <v>0</v>
      </c>
      <c r="K15" s="40">
        <f t="shared" si="2"/>
        <v>0</v>
      </c>
    </row>
    <row r="16" spans="1:15" ht="18" customHeight="1" x14ac:dyDescent="0.25">
      <c r="A16" s="2"/>
      <c r="E16" s="4">
        <f t="shared" si="4"/>
        <v>45776</v>
      </c>
      <c r="F16" s="26"/>
      <c r="G16" s="23">
        <f t="shared" si="0"/>
        <v>0.5</v>
      </c>
      <c r="H16" s="26">
        <f t="shared" si="1"/>
        <v>0.54166666666666663</v>
      </c>
      <c r="I16" s="26"/>
      <c r="J16" s="20">
        <f t="shared" si="3"/>
        <v>0</v>
      </c>
      <c r="K16" s="40">
        <f t="shared" si="2"/>
        <v>0</v>
      </c>
    </row>
    <row r="17" spans="1:11" ht="18" customHeight="1" x14ac:dyDescent="0.25">
      <c r="A17" s="2"/>
      <c r="E17" s="4">
        <f t="shared" si="4"/>
        <v>45777</v>
      </c>
      <c r="F17" s="26"/>
      <c r="G17" s="23">
        <f t="shared" si="0"/>
        <v>0.5</v>
      </c>
      <c r="H17" s="26">
        <f t="shared" si="1"/>
        <v>0.54166666666666663</v>
      </c>
      <c r="I17" s="26"/>
      <c r="J17" s="20">
        <f t="shared" si="3"/>
        <v>0</v>
      </c>
      <c r="K17" s="40">
        <f t="shared" si="2"/>
        <v>0</v>
      </c>
    </row>
    <row r="18" spans="1:11" ht="18" customHeight="1" x14ac:dyDescent="0.25">
      <c r="A18" s="2"/>
      <c r="E18" s="4">
        <f t="shared" si="4"/>
        <v>45778</v>
      </c>
      <c r="F18" s="26"/>
      <c r="G18" s="23">
        <f t="shared" si="0"/>
        <v>0.5</v>
      </c>
      <c r="H18" s="26">
        <f t="shared" si="1"/>
        <v>0.54166666666666663</v>
      </c>
      <c r="I18" s="26"/>
      <c r="J18" s="20">
        <f t="shared" si="3"/>
        <v>0</v>
      </c>
      <c r="K18" s="40">
        <f t="shared" si="2"/>
        <v>0</v>
      </c>
    </row>
    <row r="19" spans="1:11" ht="18" customHeight="1" x14ac:dyDescent="0.25">
      <c r="A19" s="2"/>
      <c r="E19" s="4">
        <f t="shared" si="4"/>
        <v>45779</v>
      </c>
      <c r="F19" s="26"/>
      <c r="G19" s="23">
        <f t="shared" si="0"/>
        <v>0.5</v>
      </c>
      <c r="H19" s="26">
        <f t="shared" si="1"/>
        <v>0.54166666666666663</v>
      </c>
      <c r="I19" s="26"/>
      <c r="J19" s="20">
        <f t="shared" si="3"/>
        <v>0</v>
      </c>
      <c r="K19" s="40">
        <f t="shared" si="2"/>
        <v>0</v>
      </c>
    </row>
    <row r="20" spans="1:11" ht="18" customHeight="1" x14ac:dyDescent="0.25">
      <c r="A20" s="2"/>
      <c r="E20" s="4">
        <f t="shared" si="4"/>
        <v>45780</v>
      </c>
      <c r="F20" s="26"/>
      <c r="G20" s="23">
        <f t="shared" si="0"/>
        <v>0.5</v>
      </c>
      <c r="H20" s="26">
        <f t="shared" si="1"/>
        <v>0.54166666666666663</v>
      </c>
      <c r="I20" s="26"/>
      <c r="J20" s="20">
        <f t="shared" si="3"/>
        <v>0</v>
      </c>
      <c r="K20" s="40">
        <f t="shared" si="2"/>
        <v>0</v>
      </c>
    </row>
    <row r="21" spans="1:11" ht="18" customHeight="1" x14ac:dyDescent="0.25">
      <c r="A21" s="2"/>
      <c r="E21" s="4">
        <f t="shared" si="4"/>
        <v>45781</v>
      </c>
      <c r="F21" s="26"/>
      <c r="G21" s="23">
        <f t="shared" si="0"/>
        <v>0.5</v>
      </c>
      <c r="H21" s="26">
        <f t="shared" si="1"/>
        <v>0.54166666666666663</v>
      </c>
      <c r="I21" s="26"/>
      <c r="J21" s="20">
        <f t="shared" si="3"/>
        <v>0</v>
      </c>
      <c r="K21" s="40">
        <f t="shared" si="2"/>
        <v>0</v>
      </c>
    </row>
    <row r="22" spans="1:11" ht="18" customHeight="1" x14ac:dyDescent="0.25">
      <c r="A22" s="2"/>
      <c r="B22" s="3"/>
      <c r="C22" s="3"/>
      <c r="E22" s="4">
        <f t="shared" si="4"/>
        <v>45782</v>
      </c>
      <c r="F22" s="26"/>
      <c r="G22" s="23">
        <f t="shared" si="0"/>
        <v>0.5</v>
      </c>
      <c r="H22" s="26">
        <f t="shared" si="1"/>
        <v>0.54166666666666663</v>
      </c>
      <c r="I22" s="26"/>
      <c r="J22" s="20">
        <f t="shared" si="3"/>
        <v>0</v>
      </c>
      <c r="K22" s="40">
        <f t="shared" si="2"/>
        <v>0</v>
      </c>
    </row>
    <row r="23" spans="1:11" ht="18" customHeight="1" x14ac:dyDescent="0.25">
      <c r="A23" s="2"/>
      <c r="B23" s="3"/>
      <c r="C23" s="3"/>
      <c r="E23" s="4">
        <f t="shared" si="4"/>
        <v>45783</v>
      </c>
      <c r="F23" s="26"/>
      <c r="G23" s="23">
        <f t="shared" si="0"/>
        <v>0.5</v>
      </c>
      <c r="H23" s="26">
        <f t="shared" si="1"/>
        <v>0.54166666666666663</v>
      </c>
      <c r="I23" s="26"/>
      <c r="J23" s="20">
        <f t="shared" si="3"/>
        <v>0</v>
      </c>
      <c r="K23" s="40">
        <f t="shared" si="2"/>
        <v>0</v>
      </c>
    </row>
    <row r="24" spans="1:11" ht="18" customHeight="1" x14ac:dyDescent="0.25">
      <c r="A24" s="2"/>
      <c r="B24" s="3"/>
      <c r="C24" s="3"/>
      <c r="E24" s="4">
        <f t="shared" si="4"/>
        <v>45784</v>
      </c>
      <c r="F24" s="26"/>
      <c r="G24" s="23">
        <f t="shared" si="0"/>
        <v>0.5</v>
      </c>
      <c r="H24" s="26">
        <f t="shared" si="1"/>
        <v>0.54166666666666663</v>
      </c>
      <c r="I24" s="26"/>
      <c r="J24" s="20">
        <f t="shared" si="3"/>
        <v>0</v>
      </c>
      <c r="K24" s="40">
        <f t="shared" si="2"/>
        <v>0</v>
      </c>
    </row>
    <row r="25" spans="1:11" ht="18" customHeight="1" x14ac:dyDescent="0.25">
      <c r="A25" s="2"/>
      <c r="B25" s="3"/>
      <c r="E25" s="4">
        <f t="shared" si="4"/>
        <v>45785</v>
      </c>
      <c r="F25" s="26"/>
      <c r="G25" s="23">
        <f t="shared" si="0"/>
        <v>0.5</v>
      </c>
      <c r="H25" s="26">
        <f t="shared" si="1"/>
        <v>0.54166666666666663</v>
      </c>
      <c r="I25" s="26"/>
      <c r="J25" s="20">
        <f t="shared" si="3"/>
        <v>0</v>
      </c>
      <c r="K25" s="40">
        <f t="shared" si="2"/>
        <v>0</v>
      </c>
    </row>
    <row r="26" spans="1:11" ht="18" customHeight="1" x14ac:dyDescent="0.25">
      <c r="A26" s="2"/>
      <c r="B26" s="3"/>
      <c r="E26" s="4">
        <f t="shared" si="4"/>
        <v>45786</v>
      </c>
      <c r="F26" s="26"/>
      <c r="G26" s="23">
        <f t="shared" si="0"/>
        <v>0.5</v>
      </c>
      <c r="H26" s="26">
        <f t="shared" si="1"/>
        <v>0.54166666666666663</v>
      </c>
      <c r="I26" s="26"/>
      <c r="J26" s="20">
        <f t="shared" si="3"/>
        <v>0</v>
      </c>
      <c r="K26" s="40">
        <f t="shared" si="2"/>
        <v>0</v>
      </c>
    </row>
    <row r="27" spans="1:11" ht="18" customHeight="1" x14ac:dyDescent="0.25">
      <c r="A27" s="2"/>
      <c r="E27" s="4">
        <f t="shared" si="4"/>
        <v>45787</v>
      </c>
      <c r="F27" s="26"/>
      <c r="G27" s="23">
        <f t="shared" si="0"/>
        <v>0.5</v>
      </c>
      <c r="H27" s="26">
        <f t="shared" si="1"/>
        <v>0.54166666666666663</v>
      </c>
      <c r="I27" s="26"/>
      <c r="J27" s="20">
        <f t="shared" si="3"/>
        <v>0</v>
      </c>
      <c r="K27" s="40">
        <f t="shared" si="2"/>
        <v>0</v>
      </c>
    </row>
    <row r="28" spans="1:11" ht="18" customHeight="1" x14ac:dyDescent="0.25">
      <c r="A28" s="2"/>
      <c r="E28" s="4">
        <f t="shared" si="4"/>
        <v>45788</v>
      </c>
      <c r="F28" s="26"/>
      <c r="G28" s="23">
        <f t="shared" si="0"/>
        <v>0.5</v>
      </c>
      <c r="H28" s="26">
        <f t="shared" si="1"/>
        <v>0.54166666666666663</v>
      </c>
      <c r="I28" s="26"/>
      <c r="J28" s="20">
        <f t="shared" si="3"/>
        <v>0</v>
      </c>
      <c r="K28" s="40">
        <f t="shared" si="2"/>
        <v>0</v>
      </c>
    </row>
    <row r="29" spans="1:11" ht="18" customHeight="1" x14ac:dyDescent="0.25">
      <c r="A29" s="2"/>
      <c r="B29" s="3"/>
      <c r="C29" s="3"/>
      <c r="E29" s="4">
        <f t="shared" si="4"/>
        <v>45789</v>
      </c>
      <c r="F29" s="26"/>
      <c r="G29" s="23">
        <f t="shared" si="0"/>
        <v>0.5</v>
      </c>
      <c r="H29" s="26">
        <f t="shared" si="1"/>
        <v>0.54166666666666663</v>
      </c>
      <c r="I29" s="26"/>
      <c r="J29" s="20">
        <f t="shared" si="3"/>
        <v>0</v>
      </c>
      <c r="K29" s="40">
        <f t="shared" si="2"/>
        <v>0</v>
      </c>
    </row>
    <row r="30" spans="1:11" ht="18" customHeight="1" x14ac:dyDescent="0.25">
      <c r="A30" s="2"/>
      <c r="B30" s="3"/>
      <c r="C30" s="3"/>
      <c r="E30" s="4">
        <f t="shared" si="4"/>
        <v>45790</v>
      </c>
      <c r="F30" s="26"/>
      <c r="G30" s="23">
        <f t="shared" si="0"/>
        <v>0.5</v>
      </c>
      <c r="H30" s="26">
        <f t="shared" si="1"/>
        <v>0.54166666666666663</v>
      </c>
      <c r="I30" s="26"/>
      <c r="J30" s="20">
        <f t="shared" si="3"/>
        <v>0</v>
      </c>
      <c r="K30" s="40">
        <f t="shared" si="2"/>
        <v>0</v>
      </c>
    </row>
    <row r="31" spans="1:11" ht="18" customHeight="1" x14ac:dyDescent="0.25">
      <c r="A31" s="2"/>
      <c r="E31" s="4">
        <f t="shared" si="4"/>
        <v>45791</v>
      </c>
      <c r="F31" s="26"/>
      <c r="G31" s="23">
        <f t="shared" si="0"/>
        <v>0.5</v>
      </c>
      <c r="H31" s="26">
        <f t="shared" si="1"/>
        <v>0.54166666666666663</v>
      </c>
      <c r="I31" s="26"/>
      <c r="J31" s="20">
        <f t="shared" si="3"/>
        <v>0</v>
      </c>
      <c r="K31" s="40">
        <f t="shared" si="2"/>
        <v>0</v>
      </c>
    </row>
    <row r="32" spans="1:11" ht="18" customHeight="1" thickBot="1" x14ac:dyDescent="0.3">
      <c r="A32" s="2"/>
      <c r="E32" s="5">
        <f t="shared" si="4"/>
        <v>45792</v>
      </c>
      <c r="F32" s="27"/>
      <c r="G32" s="24">
        <f t="shared" si="0"/>
        <v>0.5</v>
      </c>
      <c r="H32" s="27">
        <f t="shared" si="1"/>
        <v>0.54166666666666663</v>
      </c>
      <c r="I32" s="27"/>
      <c r="J32" s="21">
        <f t="shared" si="3"/>
        <v>0</v>
      </c>
      <c r="K32" s="41">
        <f t="shared" si="2"/>
        <v>0</v>
      </c>
    </row>
    <row r="33" spans="5:11" ht="18" customHeight="1" thickBot="1" x14ac:dyDescent="0.3">
      <c r="E33" s="5">
        <f t="shared" ref="E33" si="5">E32+1</f>
        <v>45793</v>
      </c>
      <c r="F33" s="27"/>
      <c r="G33" s="24">
        <f t="shared" si="0"/>
        <v>0.5</v>
      </c>
      <c r="H33" s="27">
        <f t="shared" si="1"/>
        <v>0.54166666666666663</v>
      </c>
      <c r="I33" s="27"/>
      <c r="J33" s="21">
        <f t="shared" si="3"/>
        <v>0</v>
      </c>
      <c r="K33" s="41">
        <f t="shared" si="2"/>
        <v>0</v>
      </c>
    </row>
    <row r="35" spans="5:11" ht="18" customHeight="1" x14ac:dyDescent="0.25">
      <c r="E35" s="2"/>
    </row>
    <row r="39" spans="5:11" ht="18" customHeight="1" x14ac:dyDescent="0.25">
      <c r="F39" s="42"/>
      <c r="G39" s="18">
        <v>3.472222222222222E-3</v>
      </c>
      <c r="H39" s="42"/>
    </row>
    <row r="40" spans="5:11" ht="18" customHeight="1" x14ac:dyDescent="0.25">
      <c r="F40" s="42"/>
      <c r="G40" s="18">
        <v>0</v>
      </c>
      <c r="H40" s="42"/>
    </row>
    <row r="41" spans="5:11" ht="18" customHeight="1" x14ac:dyDescent="0.25">
      <c r="F41" s="18">
        <f>G41+G39</f>
        <v>0.71180555555555558</v>
      </c>
      <c r="G41" s="18">
        <v>0.70833333333333337</v>
      </c>
      <c r="H41" s="42"/>
    </row>
    <row r="42" spans="5:11" ht="18" customHeight="1" x14ac:dyDescent="0.25">
      <c r="F42" s="18">
        <f>G42+G39</f>
        <v>0.3263888888888889</v>
      </c>
      <c r="G42" s="18">
        <f>C3</f>
        <v>0.32291666666666669</v>
      </c>
      <c r="H42" s="18">
        <f>G42-(5/60)/24</f>
        <v>0.31944444444444448</v>
      </c>
    </row>
    <row r="43" spans="5:11" ht="18" customHeight="1" x14ac:dyDescent="0.25">
      <c r="F43" s="42"/>
      <c r="G43" s="42"/>
      <c r="H43" s="42"/>
    </row>
    <row r="44" spans="5:11" ht="18" customHeight="1" x14ac:dyDescent="0.25">
      <c r="F44" s="42"/>
      <c r="G44" s="42"/>
      <c r="H44" s="42"/>
    </row>
    <row r="45" spans="5:11" ht="18" customHeight="1" x14ac:dyDescent="0.25">
      <c r="F45" s="42"/>
      <c r="G45" s="42"/>
      <c r="H45" s="42"/>
    </row>
    <row r="46" spans="5:11" ht="18" customHeight="1" x14ac:dyDescent="0.25">
      <c r="F46" s="42"/>
      <c r="G46" s="42">
        <f>DAY(E33)</f>
        <v>16</v>
      </c>
      <c r="H46" s="42"/>
    </row>
  </sheetData>
  <mergeCells count="4">
    <mergeCell ref="B12:C12"/>
    <mergeCell ref="B2:C2"/>
    <mergeCell ref="B9:C9"/>
    <mergeCell ref="B10:C10"/>
  </mergeCells>
  <conditionalFormatting sqref="K3:K33">
    <cfRule type="cellIs" dxfId="7" priority="8" operator="greaterThan">
      <formula>0</formula>
    </cfRule>
    <cfRule type="cellIs" dxfId="6" priority="9" operator="lessThan">
      <formula>0</formula>
    </cfRule>
  </conditionalFormatting>
  <conditionalFormatting sqref="B13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E3:K33">
    <cfRule type="expression" dxfId="3" priority="3">
      <formula>OR(WEEKDAY($E3)=1,WEEKDAY($E3)=7)</formula>
    </cfRule>
  </conditionalFormatting>
  <conditionalFormatting sqref="E33:K33">
    <cfRule type="expression" dxfId="2" priority="1">
      <formula>$G$46=15</formula>
    </cfRule>
    <cfRule type="expression" dxfId="1" priority="2">
      <formula>$G$46=16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acro1">
                <anchor moveWithCells="1" sizeWithCells="1">
                  <from>
                    <xdr:col>11</xdr:col>
                    <xdr:colOff>914400</xdr:colOff>
                    <xdr:row>1</xdr:row>
                    <xdr:rowOff>28575</xdr:rowOff>
                  </from>
                  <to>
                    <xdr:col>13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A6C7E21F-800F-4672-BD5A-729AE8EBCA3C}">
            <xm:f>MATCH($E3,CONFIG!$B$9:$B$433,0)</xm:f>
            <x14:dxf>
              <fill>
                <patternFill patternType="lightDown">
                  <fgColor rgb="FFFF0000"/>
                </patternFill>
              </fill>
            </x14:dxf>
          </x14:cfRule>
          <xm:sqref>E3:K33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248FD-1CF0-4B0E-8D3B-4AE35AF74090}">
  <sheetPr codeName="Planilha9"/>
  <dimension ref="B7:D433"/>
  <sheetViews>
    <sheetView showGridLines="0" topLeftCell="A79" workbookViewId="0">
      <selection activeCell="B108" sqref="B108"/>
    </sheetView>
  </sheetViews>
  <sheetFormatPr defaultRowHeight="15" x14ac:dyDescent="0.25"/>
  <cols>
    <col min="2" max="2" width="12.140625" style="29" bestFit="1" customWidth="1"/>
    <col min="3" max="3" width="30.5703125" style="28" bestFit="1" customWidth="1"/>
    <col min="4" max="4" width="7.5703125" style="28" bestFit="1" customWidth="1"/>
  </cols>
  <sheetData>
    <row r="7" spans="2:4" x14ac:dyDescent="0.25">
      <c r="B7" s="29" t="s">
        <v>35</v>
      </c>
    </row>
    <row r="8" spans="2:4" x14ac:dyDescent="0.25">
      <c r="B8" s="38" t="s">
        <v>34</v>
      </c>
      <c r="C8" s="37" t="s">
        <v>33</v>
      </c>
      <c r="D8" s="36" t="s">
        <v>32</v>
      </c>
    </row>
    <row r="9" spans="2:4" x14ac:dyDescent="0.25">
      <c r="B9" s="35">
        <v>43466</v>
      </c>
      <c r="C9" s="34" t="s">
        <v>28</v>
      </c>
      <c r="D9" s="33">
        <v>2019</v>
      </c>
    </row>
    <row r="10" spans="2:4" x14ac:dyDescent="0.25">
      <c r="B10" s="35">
        <v>43528</v>
      </c>
      <c r="C10" s="34" t="s">
        <v>27</v>
      </c>
      <c r="D10" s="33">
        <v>2019</v>
      </c>
    </row>
    <row r="11" spans="2:4" x14ac:dyDescent="0.25">
      <c r="B11" s="35">
        <v>43529</v>
      </c>
      <c r="C11" s="34" t="s">
        <v>27</v>
      </c>
      <c r="D11" s="33">
        <v>2019</v>
      </c>
    </row>
    <row r="12" spans="2:4" x14ac:dyDescent="0.25">
      <c r="B12" s="35">
        <v>43574</v>
      </c>
      <c r="C12" s="34" t="s">
        <v>26</v>
      </c>
      <c r="D12" s="33">
        <v>2019</v>
      </c>
    </row>
    <row r="13" spans="2:4" x14ac:dyDescent="0.25">
      <c r="B13" s="35">
        <v>43576</v>
      </c>
      <c r="C13" s="34" t="s">
        <v>25</v>
      </c>
      <c r="D13" s="33">
        <v>2019</v>
      </c>
    </row>
    <row r="14" spans="2:4" x14ac:dyDescent="0.25">
      <c r="B14" s="35">
        <v>43576</v>
      </c>
      <c r="C14" s="34" t="s">
        <v>24</v>
      </c>
      <c r="D14" s="33">
        <v>2019</v>
      </c>
    </row>
    <row r="15" spans="2:4" x14ac:dyDescent="0.25">
      <c r="B15" s="35">
        <v>43586</v>
      </c>
      <c r="C15" s="34" t="s">
        <v>23</v>
      </c>
      <c r="D15" s="33">
        <v>2019</v>
      </c>
    </row>
    <row r="16" spans="2:4" x14ac:dyDescent="0.25">
      <c r="B16" s="35">
        <v>43636</v>
      </c>
      <c r="C16" s="34" t="s">
        <v>22</v>
      </c>
      <c r="D16" s="33">
        <v>2019</v>
      </c>
    </row>
    <row r="17" spans="2:4" x14ac:dyDescent="0.25">
      <c r="B17" s="35">
        <v>43715</v>
      </c>
      <c r="C17" s="34" t="s">
        <v>21</v>
      </c>
      <c r="D17" s="33">
        <v>2019</v>
      </c>
    </row>
    <row r="18" spans="2:4" x14ac:dyDescent="0.25">
      <c r="B18" s="35">
        <v>43750</v>
      </c>
      <c r="C18" s="34" t="s">
        <v>20</v>
      </c>
      <c r="D18" s="33">
        <v>2019</v>
      </c>
    </row>
    <row r="19" spans="2:4" x14ac:dyDescent="0.25">
      <c r="B19" s="35">
        <v>43771</v>
      </c>
      <c r="C19" s="34" t="s">
        <v>19</v>
      </c>
      <c r="D19" s="33">
        <v>2019</v>
      </c>
    </row>
    <row r="20" spans="2:4" x14ac:dyDescent="0.25">
      <c r="B20" s="35">
        <v>43784</v>
      </c>
      <c r="C20" s="34" t="s">
        <v>18</v>
      </c>
      <c r="D20" s="33">
        <v>2019</v>
      </c>
    </row>
    <row r="21" spans="2:4" x14ac:dyDescent="0.25">
      <c r="B21" s="35">
        <v>43824</v>
      </c>
      <c r="C21" s="34" t="s">
        <v>17</v>
      </c>
      <c r="D21" s="33">
        <v>2019</v>
      </c>
    </row>
    <row r="22" spans="2:4" x14ac:dyDescent="0.25">
      <c r="B22" s="35">
        <v>43831</v>
      </c>
      <c r="C22" s="34" t="s">
        <v>28</v>
      </c>
      <c r="D22" s="33">
        <v>2020</v>
      </c>
    </row>
    <row r="23" spans="2:4" x14ac:dyDescent="0.25">
      <c r="B23" s="35">
        <v>43885</v>
      </c>
      <c r="C23" s="34" t="s">
        <v>27</v>
      </c>
      <c r="D23" s="33">
        <v>2020</v>
      </c>
    </row>
    <row r="24" spans="2:4" x14ac:dyDescent="0.25">
      <c r="B24" s="35">
        <v>43886</v>
      </c>
      <c r="C24" s="34" t="s">
        <v>27</v>
      </c>
      <c r="D24" s="33">
        <v>2020</v>
      </c>
    </row>
    <row r="25" spans="2:4" x14ac:dyDescent="0.25">
      <c r="B25" s="35">
        <v>43931</v>
      </c>
      <c r="C25" s="34" t="s">
        <v>26</v>
      </c>
      <c r="D25" s="33">
        <v>2020</v>
      </c>
    </row>
    <row r="26" spans="2:4" x14ac:dyDescent="0.25">
      <c r="B26" s="35">
        <v>43942</v>
      </c>
      <c r="C26" s="34" t="s">
        <v>25</v>
      </c>
      <c r="D26" s="33">
        <v>2020</v>
      </c>
    </row>
    <row r="27" spans="2:4" x14ac:dyDescent="0.25">
      <c r="B27" s="35">
        <v>43933</v>
      </c>
      <c r="C27" s="34" t="s">
        <v>24</v>
      </c>
      <c r="D27" s="33">
        <v>2020</v>
      </c>
    </row>
    <row r="28" spans="2:4" x14ac:dyDescent="0.25">
      <c r="B28" s="35">
        <v>43952</v>
      </c>
      <c r="C28" s="34" t="s">
        <v>23</v>
      </c>
      <c r="D28" s="33">
        <v>2020</v>
      </c>
    </row>
    <row r="29" spans="2:4" x14ac:dyDescent="0.25">
      <c r="B29" s="35">
        <v>43993</v>
      </c>
      <c r="C29" s="34" t="s">
        <v>22</v>
      </c>
      <c r="D29" s="33">
        <v>2020</v>
      </c>
    </row>
    <row r="30" spans="2:4" x14ac:dyDescent="0.25">
      <c r="B30" s="35">
        <v>44081</v>
      </c>
      <c r="C30" s="34" t="s">
        <v>21</v>
      </c>
      <c r="D30" s="33">
        <v>2020</v>
      </c>
    </row>
    <row r="31" spans="2:4" x14ac:dyDescent="0.25">
      <c r="B31" s="35">
        <v>44116</v>
      </c>
      <c r="C31" s="34" t="s">
        <v>20</v>
      </c>
      <c r="D31" s="33">
        <v>2020</v>
      </c>
    </row>
    <row r="32" spans="2:4" x14ac:dyDescent="0.25">
      <c r="B32" s="35">
        <v>44137</v>
      </c>
      <c r="C32" s="34" t="s">
        <v>19</v>
      </c>
      <c r="D32" s="33">
        <v>2020</v>
      </c>
    </row>
    <row r="33" spans="2:4" x14ac:dyDescent="0.25">
      <c r="B33" s="35">
        <v>44150</v>
      </c>
      <c r="C33" s="34" t="s">
        <v>18</v>
      </c>
      <c r="D33" s="33">
        <v>2020</v>
      </c>
    </row>
    <row r="34" spans="2:4" x14ac:dyDescent="0.25">
      <c r="B34" s="35">
        <v>44190</v>
      </c>
      <c r="C34" s="34" t="s">
        <v>17</v>
      </c>
      <c r="D34" s="33">
        <v>2020</v>
      </c>
    </row>
    <row r="35" spans="2:4" x14ac:dyDescent="0.25">
      <c r="B35" s="35">
        <v>44197</v>
      </c>
      <c r="C35" s="34" t="s">
        <v>28</v>
      </c>
      <c r="D35" s="33">
        <v>2021</v>
      </c>
    </row>
    <row r="36" spans="2:4" x14ac:dyDescent="0.25">
      <c r="B36" s="35">
        <v>44242</v>
      </c>
      <c r="C36" s="34" t="s">
        <v>27</v>
      </c>
      <c r="D36" s="33">
        <v>2021</v>
      </c>
    </row>
    <row r="37" spans="2:4" x14ac:dyDescent="0.25">
      <c r="B37" s="35">
        <v>44243</v>
      </c>
      <c r="C37" s="34" t="s">
        <v>27</v>
      </c>
      <c r="D37" s="33">
        <v>2021</v>
      </c>
    </row>
    <row r="38" spans="2:4" x14ac:dyDescent="0.25">
      <c r="B38" s="35">
        <v>44288</v>
      </c>
      <c r="C38" s="34" t="s">
        <v>26</v>
      </c>
      <c r="D38" s="33">
        <v>2021</v>
      </c>
    </row>
    <row r="39" spans="2:4" x14ac:dyDescent="0.25">
      <c r="B39" s="35">
        <v>44307</v>
      </c>
      <c r="C39" s="34" t="s">
        <v>25</v>
      </c>
      <c r="D39" s="33">
        <v>2021</v>
      </c>
    </row>
    <row r="40" spans="2:4" x14ac:dyDescent="0.25">
      <c r="B40" s="35">
        <v>44290</v>
      </c>
      <c r="C40" s="34" t="s">
        <v>24</v>
      </c>
      <c r="D40" s="33">
        <v>2021</v>
      </c>
    </row>
    <row r="41" spans="2:4" x14ac:dyDescent="0.25">
      <c r="B41" s="35">
        <v>44317</v>
      </c>
      <c r="C41" s="34" t="s">
        <v>23</v>
      </c>
      <c r="D41" s="33">
        <v>2021</v>
      </c>
    </row>
    <row r="42" spans="2:4" x14ac:dyDescent="0.25">
      <c r="B42" s="35">
        <v>44350</v>
      </c>
      <c r="C42" s="34" t="s">
        <v>22</v>
      </c>
      <c r="D42" s="33">
        <v>2021</v>
      </c>
    </row>
    <row r="43" spans="2:4" x14ac:dyDescent="0.25">
      <c r="B43" s="35">
        <v>44446</v>
      </c>
      <c r="C43" s="34" t="s">
        <v>21</v>
      </c>
      <c r="D43" s="33">
        <v>2021</v>
      </c>
    </row>
    <row r="44" spans="2:4" x14ac:dyDescent="0.25">
      <c r="B44" s="35">
        <v>44481</v>
      </c>
      <c r="C44" s="34" t="s">
        <v>20</v>
      </c>
      <c r="D44" s="33">
        <v>2021</v>
      </c>
    </row>
    <row r="45" spans="2:4" x14ac:dyDescent="0.25">
      <c r="B45" s="35">
        <v>44502</v>
      </c>
      <c r="C45" s="34" t="s">
        <v>19</v>
      </c>
      <c r="D45" s="33">
        <v>2021</v>
      </c>
    </row>
    <row r="46" spans="2:4" x14ac:dyDescent="0.25">
      <c r="B46" s="35">
        <v>44515</v>
      </c>
      <c r="C46" s="34" t="s">
        <v>18</v>
      </c>
      <c r="D46" s="33">
        <v>2021</v>
      </c>
    </row>
    <row r="47" spans="2:4" x14ac:dyDescent="0.25">
      <c r="B47" s="35">
        <v>44555</v>
      </c>
      <c r="C47" s="34" t="s">
        <v>17</v>
      </c>
      <c r="D47" s="33">
        <v>2021</v>
      </c>
    </row>
    <row r="48" spans="2:4" x14ac:dyDescent="0.25">
      <c r="B48" s="35">
        <v>44562</v>
      </c>
      <c r="C48" s="34" t="s">
        <v>28</v>
      </c>
      <c r="D48" s="33">
        <v>2022</v>
      </c>
    </row>
    <row r="49" spans="2:4" x14ac:dyDescent="0.25">
      <c r="B49" s="35">
        <v>44620</v>
      </c>
      <c r="C49" s="34" t="s">
        <v>27</v>
      </c>
      <c r="D49" s="33">
        <v>2022</v>
      </c>
    </row>
    <row r="50" spans="2:4" x14ac:dyDescent="0.25">
      <c r="B50" s="35">
        <v>44621</v>
      </c>
      <c r="C50" s="34" t="s">
        <v>27</v>
      </c>
      <c r="D50" s="33">
        <v>2022</v>
      </c>
    </row>
    <row r="51" spans="2:4" x14ac:dyDescent="0.25">
      <c r="B51" s="35">
        <v>44666</v>
      </c>
      <c r="C51" s="34" t="s">
        <v>26</v>
      </c>
      <c r="D51" s="33">
        <v>2022</v>
      </c>
    </row>
    <row r="52" spans="2:4" x14ac:dyDescent="0.25">
      <c r="B52" s="35">
        <v>44672</v>
      </c>
      <c r="C52" s="34" t="s">
        <v>25</v>
      </c>
      <c r="D52" s="33">
        <v>2022</v>
      </c>
    </row>
    <row r="53" spans="2:4" x14ac:dyDescent="0.25">
      <c r="B53" s="35">
        <v>44668</v>
      </c>
      <c r="C53" s="34" t="s">
        <v>24</v>
      </c>
      <c r="D53" s="33">
        <v>2022</v>
      </c>
    </row>
    <row r="54" spans="2:4" x14ac:dyDescent="0.25">
      <c r="B54" s="35">
        <v>44682</v>
      </c>
      <c r="C54" s="34" t="s">
        <v>23</v>
      </c>
      <c r="D54" s="33">
        <v>2022</v>
      </c>
    </row>
    <row r="55" spans="2:4" x14ac:dyDescent="0.25">
      <c r="B55" s="35">
        <v>44728</v>
      </c>
      <c r="C55" s="34" t="s">
        <v>22</v>
      </c>
      <c r="D55" s="33">
        <v>2022</v>
      </c>
    </row>
    <row r="56" spans="2:4" x14ac:dyDescent="0.25">
      <c r="B56" s="35">
        <v>44811</v>
      </c>
      <c r="C56" s="34" t="s">
        <v>21</v>
      </c>
      <c r="D56" s="33">
        <v>2022</v>
      </c>
    </row>
    <row r="57" spans="2:4" x14ac:dyDescent="0.25">
      <c r="B57" s="35">
        <v>44846</v>
      </c>
      <c r="C57" s="34" t="s">
        <v>20</v>
      </c>
      <c r="D57" s="33">
        <v>2022</v>
      </c>
    </row>
    <row r="58" spans="2:4" x14ac:dyDescent="0.25">
      <c r="B58" s="35">
        <v>44867</v>
      </c>
      <c r="C58" s="34" t="s">
        <v>19</v>
      </c>
      <c r="D58" s="33">
        <v>2022</v>
      </c>
    </row>
    <row r="59" spans="2:4" x14ac:dyDescent="0.25">
      <c r="B59" s="35">
        <v>44880</v>
      </c>
      <c r="C59" s="34" t="s">
        <v>18</v>
      </c>
      <c r="D59" s="33">
        <v>2022</v>
      </c>
    </row>
    <row r="60" spans="2:4" x14ac:dyDescent="0.25">
      <c r="B60" s="35">
        <v>44920</v>
      </c>
      <c r="C60" s="34" t="s">
        <v>17</v>
      </c>
      <c r="D60" s="33">
        <v>2022</v>
      </c>
    </row>
    <row r="61" spans="2:4" x14ac:dyDescent="0.25">
      <c r="B61" s="35">
        <v>44927</v>
      </c>
      <c r="C61" s="34" t="s">
        <v>28</v>
      </c>
      <c r="D61" s="33">
        <v>2023</v>
      </c>
    </row>
    <row r="62" spans="2:4" x14ac:dyDescent="0.25">
      <c r="B62" s="35">
        <v>44977</v>
      </c>
      <c r="C62" s="34" t="s">
        <v>27</v>
      </c>
      <c r="D62" s="33">
        <v>2023</v>
      </c>
    </row>
    <row r="63" spans="2:4" x14ac:dyDescent="0.25">
      <c r="B63" s="35">
        <v>44978</v>
      </c>
      <c r="C63" s="34" t="s">
        <v>27</v>
      </c>
      <c r="D63" s="33">
        <v>2023</v>
      </c>
    </row>
    <row r="64" spans="2:4" x14ac:dyDescent="0.25">
      <c r="B64" s="35">
        <v>45023</v>
      </c>
      <c r="C64" s="34" t="s">
        <v>26</v>
      </c>
      <c r="D64" s="33">
        <v>2023</v>
      </c>
    </row>
    <row r="65" spans="2:4" x14ac:dyDescent="0.25">
      <c r="B65" s="35">
        <v>45037</v>
      </c>
      <c r="C65" s="34" t="s">
        <v>25</v>
      </c>
      <c r="D65" s="33">
        <v>2023</v>
      </c>
    </row>
    <row r="66" spans="2:4" x14ac:dyDescent="0.25">
      <c r="B66" s="35">
        <v>45025</v>
      </c>
      <c r="C66" s="34" t="s">
        <v>24</v>
      </c>
      <c r="D66" s="33">
        <v>2023</v>
      </c>
    </row>
    <row r="67" spans="2:4" x14ac:dyDescent="0.25">
      <c r="B67" s="35">
        <v>45047</v>
      </c>
      <c r="C67" s="34" t="s">
        <v>23</v>
      </c>
      <c r="D67" s="33">
        <v>2023</v>
      </c>
    </row>
    <row r="68" spans="2:4" x14ac:dyDescent="0.25">
      <c r="B68" s="35">
        <v>45085</v>
      </c>
      <c r="C68" s="34" t="s">
        <v>22</v>
      </c>
      <c r="D68" s="33">
        <v>2023</v>
      </c>
    </row>
    <row r="69" spans="2:4" x14ac:dyDescent="0.25">
      <c r="B69" s="35">
        <v>45176</v>
      </c>
      <c r="C69" s="34" t="s">
        <v>21</v>
      </c>
      <c r="D69" s="33">
        <v>2023</v>
      </c>
    </row>
    <row r="70" spans="2:4" x14ac:dyDescent="0.25">
      <c r="B70" s="35">
        <v>45211</v>
      </c>
      <c r="C70" s="34" t="s">
        <v>20</v>
      </c>
      <c r="D70" s="33">
        <v>2023</v>
      </c>
    </row>
    <row r="71" spans="2:4" x14ac:dyDescent="0.25">
      <c r="B71" s="35">
        <v>45232</v>
      </c>
      <c r="C71" s="34" t="s">
        <v>19</v>
      </c>
      <c r="D71" s="33">
        <v>2023</v>
      </c>
    </row>
    <row r="72" spans="2:4" x14ac:dyDescent="0.25">
      <c r="B72" s="35">
        <v>45245</v>
      </c>
      <c r="C72" s="34" t="s">
        <v>18</v>
      </c>
      <c r="D72" s="33">
        <v>2023</v>
      </c>
    </row>
    <row r="73" spans="2:4" x14ac:dyDescent="0.25">
      <c r="B73" s="35">
        <v>45285</v>
      </c>
      <c r="C73" s="34" t="s">
        <v>17</v>
      </c>
      <c r="D73" s="33">
        <v>2023</v>
      </c>
    </row>
    <row r="74" spans="2:4" x14ac:dyDescent="0.25">
      <c r="B74" s="35">
        <v>45292</v>
      </c>
      <c r="C74" s="34" t="s">
        <v>28</v>
      </c>
      <c r="D74" s="33">
        <v>2024</v>
      </c>
    </row>
    <row r="75" spans="2:4" x14ac:dyDescent="0.25">
      <c r="B75" s="35">
        <v>45334</v>
      </c>
      <c r="C75" s="34" t="s">
        <v>27</v>
      </c>
      <c r="D75" s="33">
        <v>2024</v>
      </c>
    </row>
    <row r="76" spans="2:4" x14ac:dyDescent="0.25">
      <c r="B76" s="35">
        <v>45335</v>
      </c>
      <c r="C76" s="34" t="s">
        <v>27</v>
      </c>
      <c r="D76" s="33">
        <v>2024</v>
      </c>
    </row>
    <row r="77" spans="2:4" x14ac:dyDescent="0.25">
      <c r="B77" s="35">
        <v>45380</v>
      </c>
      <c r="C77" s="34" t="s">
        <v>26</v>
      </c>
      <c r="D77" s="33">
        <v>2024</v>
      </c>
    </row>
    <row r="78" spans="2:4" x14ac:dyDescent="0.25">
      <c r="B78" s="35">
        <v>45403</v>
      </c>
      <c r="C78" s="34" t="s">
        <v>25</v>
      </c>
      <c r="D78" s="33">
        <v>2024</v>
      </c>
    </row>
    <row r="79" spans="2:4" x14ac:dyDescent="0.25">
      <c r="B79" s="35">
        <v>45382</v>
      </c>
      <c r="C79" s="34" t="s">
        <v>24</v>
      </c>
      <c r="D79" s="33">
        <v>2024</v>
      </c>
    </row>
    <row r="80" spans="2:4" x14ac:dyDescent="0.25">
      <c r="B80" s="35">
        <v>45413</v>
      </c>
      <c r="C80" s="34" t="s">
        <v>23</v>
      </c>
      <c r="D80" s="33">
        <v>2024</v>
      </c>
    </row>
    <row r="81" spans="2:4" x14ac:dyDescent="0.25">
      <c r="B81" s="35">
        <v>45442</v>
      </c>
      <c r="C81" s="34" t="s">
        <v>22</v>
      </c>
      <c r="D81" s="33">
        <v>2024</v>
      </c>
    </row>
    <row r="82" spans="2:4" x14ac:dyDescent="0.25">
      <c r="B82" s="35">
        <v>45542</v>
      </c>
      <c r="C82" s="34" t="s">
        <v>21</v>
      </c>
      <c r="D82" s="33">
        <v>2024</v>
      </c>
    </row>
    <row r="83" spans="2:4" x14ac:dyDescent="0.25">
      <c r="B83" s="35">
        <v>45577</v>
      </c>
      <c r="C83" s="34" t="s">
        <v>20</v>
      </c>
      <c r="D83" s="33">
        <v>2024</v>
      </c>
    </row>
    <row r="84" spans="2:4" x14ac:dyDescent="0.25">
      <c r="B84" s="35">
        <v>45598</v>
      </c>
      <c r="C84" s="34" t="s">
        <v>19</v>
      </c>
      <c r="D84" s="33">
        <v>2024</v>
      </c>
    </row>
    <row r="85" spans="2:4" x14ac:dyDescent="0.25">
      <c r="B85" s="35">
        <v>45611</v>
      </c>
      <c r="C85" s="34" t="s">
        <v>18</v>
      </c>
      <c r="D85" s="33">
        <v>2024</v>
      </c>
    </row>
    <row r="86" spans="2:4" x14ac:dyDescent="0.25">
      <c r="B86" s="35">
        <v>45616</v>
      </c>
      <c r="C86" s="34" t="s">
        <v>29</v>
      </c>
      <c r="D86" s="33">
        <v>2024</v>
      </c>
    </row>
    <row r="87" spans="2:4" x14ac:dyDescent="0.25">
      <c r="B87" s="35">
        <v>45650</v>
      </c>
      <c r="C87" s="34" t="s">
        <v>31</v>
      </c>
      <c r="D87" s="33">
        <v>2024</v>
      </c>
    </row>
    <row r="88" spans="2:4" x14ac:dyDescent="0.25">
      <c r="B88" s="35">
        <v>45651</v>
      </c>
      <c r="C88" s="34" t="s">
        <v>17</v>
      </c>
      <c r="D88" s="33">
        <v>2024</v>
      </c>
    </row>
    <row r="89" spans="2:4" x14ac:dyDescent="0.25">
      <c r="B89" s="35">
        <v>45657</v>
      </c>
      <c r="C89" s="34" t="s">
        <v>30</v>
      </c>
      <c r="D89" s="33">
        <v>2024</v>
      </c>
    </row>
    <row r="90" spans="2:4" x14ac:dyDescent="0.25">
      <c r="B90" s="35">
        <v>45658</v>
      </c>
      <c r="C90" s="34" t="s">
        <v>28</v>
      </c>
      <c r="D90" s="33">
        <v>2025</v>
      </c>
    </row>
    <row r="91" spans="2:4" x14ac:dyDescent="0.25">
      <c r="B91" s="35">
        <v>45719</v>
      </c>
      <c r="C91" s="34" t="s">
        <v>27</v>
      </c>
      <c r="D91" s="33">
        <v>2025</v>
      </c>
    </row>
    <row r="92" spans="2:4" x14ac:dyDescent="0.25">
      <c r="B92" s="35">
        <v>45720</v>
      </c>
      <c r="C92" s="34" t="s">
        <v>27</v>
      </c>
      <c r="D92" s="33">
        <v>2025</v>
      </c>
    </row>
    <row r="93" spans="2:4" x14ac:dyDescent="0.25">
      <c r="B93" s="35">
        <v>45765</v>
      </c>
      <c r="C93" s="34" t="s">
        <v>26</v>
      </c>
      <c r="D93" s="33">
        <v>2025</v>
      </c>
    </row>
    <row r="94" spans="2:4" x14ac:dyDescent="0.25">
      <c r="B94" s="35">
        <v>45768</v>
      </c>
      <c r="C94" s="34" t="s">
        <v>25</v>
      </c>
      <c r="D94" s="33">
        <v>2025</v>
      </c>
    </row>
    <row r="95" spans="2:4" x14ac:dyDescent="0.25">
      <c r="B95" s="35">
        <v>45767</v>
      </c>
      <c r="C95" s="34" t="s">
        <v>24</v>
      </c>
      <c r="D95" s="33">
        <v>2025</v>
      </c>
    </row>
    <row r="96" spans="2:4" x14ac:dyDescent="0.25">
      <c r="B96" s="35">
        <v>45778</v>
      </c>
      <c r="C96" s="34" t="s">
        <v>23</v>
      </c>
      <c r="D96" s="33">
        <v>2025</v>
      </c>
    </row>
    <row r="97" spans="2:4" x14ac:dyDescent="0.25">
      <c r="B97" s="35">
        <v>45779</v>
      </c>
      <c r="C97" s="34" t="s">
        <v>36</v>
      </c>
      <c r="D97" s="33">
        <v>2025</v>
      </c>
    </row>
    <row r="98" spans="2:4" x14ac:dyDescent="0.25">
      <c r="B98" s="35">
        <v>45827</v>
      </c>
      <c r="C98" s="34" t="s">
        <v>22</v>
      </c>
      <c r="D98" s="33">
        <v>2025</v>
      </c>
    </row>
    <row r="99" spans="2:4" x14ac:dyDescent="0.25">
      <c r="B99" s="35">
        <v>45828</v>
      </c>
      <c r="C99" s="34" t="s">
        <v>36</v>
      </c>
      <c r="D99" s="33">
        <v>2025</v>
      </c>
    </row>
    <row r="100" spans="2:4" x14ac:dyDescent="0.25">
      <c r="B100" s="35">
        <v>45907</v>
      </c>
      <c r="C100" s="34" t="s">
        <v>21</v>
      </c>
      <c r="D100" s="33">
        <v>2025</v>
      </c>
    </row>
    <row r="101" spans="2:4" x14ac:dyDescent="0.25">
      <c r="B101" s="35">
        <v>45942</v>
      </c>
      <c r="C101" s="34" t="s">
        <v>20</v>
      </c>
      <c r="D101" s="33">
        <v>2025</v>
      </c>
    </row>
    <row r="102" spans="2:4" x14ac:dyDescent="0.25">
      <c r="B102" s="35">
        <v>45963</v>
      </c>
      <c r="C102" s="34" t="s">
        <v>19</v>
      </c>
      <c r="D102" s="33">
        <v>2025</v>
      </c>
    </row>
    <row r="103" spans="2:4" x14ac:dyDescent="0.25">
      <c r="B103" s="35">
        <v>45976</v>
      </c>
      <c r="C103" s="34" t="s">
        <v>18</v>
      </c>
      <c r="D103" s="33">
        <v>2025</v>
      </c>
    </row>
    <row r="104" spans="2:4" x14ac:dyDescent="0.25">
      <c r="B104" s="35">
        <v>45981</v>
      </c>
      <c r="C104" s="34" t="s">
        <v>29</v>
      </c>
      <c r="D104" s="33">
        <v>2025</v>
      </c>
    </row>
    <row r="105" spans="2:4" x14ac:dyDescent="0.25">
      <c r="B105" s="35">
        <v>45985</v>
      </c>
      <c r="C105" s="34" t="s">
        <v>36</v>
      </c>
      <c r="D105" s="33">
        <v>2025</v>
      </c>
    </row>
    <row r="106" spans="2:4" x14ac:dyDescent="0.25">
      <c r="B106" s="35">
        <v>46016</v>
      </c>
      <c r="C106" s="34" t="s">
        <v>17</v>
      </c>
      <c r="D106" s="33">
        <v>2025</v>
      </c>
    </row>
    <row r="107" spans="2:4" x14ac:dyDescent="0.25">
      <c r="B107" s="35">
        <v>46022</v>
      </c>
      <c r="C107" s="34" t="s">
        <v>36</v>
      </c>
      <c r="D107" s="33">
        <v>2025</v>
      </c>
    </row>
    <row r="108" spans="2:4" x14ac:dyDescent="0.25">
      <c r="B108" s="35">
        <v>46023</v>
      </c>
      <c r="C108" s="34" t="s">
        <v>28</v>
      </c>
      <c r="D108" s="33">
        <v>2026</v>
      </c>
    </row>
    <row r="109" spans="2:4" x14ac:dyDescent="0.25">
      <c r="B109" s="35">
        <v>46069</v>
      </c>
      <c r="C109" s="34" t="s">
        <v>27</v>
      </c>
      <c r="D109" s="33">
        <v>2026</v>
      </c>
    </row>
    <row r="110" spans="2:4" x14ac:dyDescent="0.25">
      <c r="B110" s="35">
        <v>46070</v>
      </c>
      <c r="C110" s="34" t="s">
        <v>27</v>
      </c>
      <c r="D110" s="33">
        <v>2026</v>
      </c>
    </row>
    <row r="111" spans="2:4" x14ac:dyDescent="0.25">
      <c r="B111" s="35">
        <v>46115</v>
      </c>
      <c r="C111" s="34" t="s">
        <v>26</v>
      </c>
      <c r="D111" s="33">
        <v>2026</v>
      </c>
    </row>
    <row r="112" spans="2:4" x14ac:dyDescent="0.25">
      <c r="B112" s="35">
        <v>46133</v>
      </c>
      <c r="C112" s="34" t="s">
        <v>25</v>
      </c>
      <c r="D112" s="33">
        <v>2026</v>
      </c>
    </row>
    <row r="113" spans="2:4" x14ac:dyDescent="0.25">
      <c r="B113" s="35">
        <v>46117</v>
      </c>
      <c r="C113" s="34" t="s">
        <v>24</v>
      </c>
      <c r="D113" s="33">
        <v>2026</v>
      </c>
    </row>
    <row r="114" spans="2:4" x14ac:dyDescent="0.25">
      <c r="B114" s="35">
        <v>46143</v>
      </c>
      <c r="C114" s="34" t="s">
        <v>23</v>
      </c>
      <c r="D114" s="33">
        <v>2026</v>
      </c>
    </row>
    <row r="115" spans="2:4" x14ac:dyDescent="0.25">
      <c r="B115" s="35">
        <v>46177</v>
      </c>
      <c r="C115" s="34" t="s">
        <v>22</v>
      </c>
      <c r="D115" s="33">
        <v>2026</v>
      </c>
    </row>
    <row r="116" spans="2:4" x14ac:dyDescent="0.25">
      <c r="B116" s="35">
        <v>46272</v>
      </c>
      <c r="C116" s="34" t="s">
        <v>21</v>
      </c>
      <c r="D116" s="33">
        <v>2026</v>
      </c>
    </row>
    <row r="117" spans="2:4" x14ac:dyDescent="0.25">
      <c r="B117" s="35">
        <v>46307</v>
      </c>
      <c r="C117" s="34" t="s">
        <v>20</v>
      </c>
      <c r="D117" s="33">
        <v>2026</v>
      </c>
    </row>
    <row r="118" spans="2:4" x14ac:dyDescent="0.25">
      <c r="B118" s="35">
        <v>46328</v>
      </c>
      <c r="C118" s="34" t="s">
        <v>19</v>
      </c>
      <c r="D118" s="33">
        <v>2026</v>
      </c>
    </row>
    <row r="119" spans="2:4" x14ac:dyDescent="0.25">
      <c r="B119" s="35">
        <v>46341</v>
      </c>
      <c r="C119" s="34" t="s">
        <v>18</v>
      </c>
      <c r="D119" s="33">
        <v>2026</v>
      </c>
    </row>
    <row r="120" spans="2:4" x14ac:dyDescent="0.25">
      <c r="B120" s="35">
        <v>46346</v>
      </c>
      <c r="C120" s="34" t="s">
        <v>29</v>
      </c>
      <c r="D120" s="33">
        <v>2026</v>
      </c>
    </row>
    <row r="121" spans="2:4" x14ac:dyDescent="0.25">
      <c r="B121" s="35">
        <v>46381</v>
      </c>
      <c r="C121" s="34" t="s">
        <v>17</v>
      </c>
      <c r="D121" s="33">
        <v>2026</v>
      </c>
    </row>
    <row r="122" spans="2:4" x14ac:dyDescent="0.25">
      <c r="B122" s="35">
        <v>46388</v>
      </c>
      <c r="C122" s="34" t="s">
        <v>28</v>
      </c>
      <c r="D122" s="33">
        <v>2027</v>
      </c>
    </row>
    <row r="123" spans="2:4" x14ac:dyDescent="0.25">
      <c r="B123" s="35">
        <v>46426</v>
      </c>
      <c r="C123" s="34" t="s">
        <v>27</v>
      </c>
      <c r="D123" s="33">
        <v>2027</v>
      </c>
    </row>
    <row r="124" spans="2:4" x14ac:dyDescent="0.25">
      <c r="B124" s="35">
        <v>46427</v>
      </c>
      <c r="C124" s="34" t="s">
        <v>27</v>
      </c>
      <c r="D124" s="33">
        <v>2027</v>
      </c>
    </row>
    <row r="125" spans="2:4" x14ac:dyDescent="0.25">
      <c r="B125" s="35">
        <v>46472</v>
      </c>
      <c r="C125" s="34" t="s">
        <v>26</v>
      </c>
      <c r="D125" s="33">
        <v>2027</v>
      </c>
    </row>
    <row r="126" spans="2:4" x14ac:dyDescent="0.25">
      <c r="B126" s="35">
        <v>46498</v>
      </c>
      <c r="C126" s="34" t="s">
        <v>25</v>
      </c>
      <c r="D126" s="33">
        <v>2027</v>
      </c>
    </row>
    <row r="127" spans="2:4" x14ac:dyDescent="0.25">
      <c r="B127" s="35">
        <v>46474</v>
      </c>
      <c r="C127" s="34" t="s">
        <v>24</v>
      </c>
      <c r="D127" s="33">
        <v>2027</v>
      </c>
    </row>
    <row r="128" spans="2:4" x14ac:dyDescent="0.25">
      <c r="B128" s="35">
        <v>46508</v>
      </c>
      <c r="C128" s="34" t="s">
        <v>23</v>
      </c>
      <c r="D128" s="33">
        <v>2027</v>
      </c>
    </row>
    <row r="129" spans="2:4" x14ac:dyDescent="0.25">
      <c r="B129" s="35">
        <v>46534</v>
      </c>
      <c r="C129" s="34" t="s">
        <v>22</v>
      </c>
      <c r="D129" s="33">
        <v>2027</v>
      </c>
    </row>
    <row r="130" spans="2:4" x14ac:dyDescent="0.25">
      <c r="B130" s="35">
        <v>46637</v>
      </c>
      <c r="C130" s="34" t="s">
        <v>21</v>
      </c>
      <c r="D130" s="33">
        <v>2027</v>
      </c>
    </row>
    <row r="131" spans="2:4" x14ac:dyDescent="0.25">
      <c r="B131" s="35">
        <v>46672</v>
      </c>
      <c r="C131" s="34" t="s">
        <v>20</v>
      </c>
      <c r="D131" s="33">
        <v>2027</v>
      </c>
    </row>
    <row r="132" spans="2:4" x14ac:dyDescent="0.25">
      <c r="B132" s="35">
        <v>46693</v>
      </c>
      <c r="C132" s="34" t="s">
        <v>19</v>
      </c>
      <c r="D132" s="33">
        <v>2027</v>
      </c>
    </row>
    <row r="133" spans="2:4" x14ac:dyDescent="0.25">
      <c r="B133" s="35">
        <v>46706</v>
      </c>
      <c r="C133" s="34" t="s">
        <v>18</v>
      </c>
      <c r="D133" s="33">
        <v>2027</v>
      </c>
    </row>
    <row r="134" spans="2:4" x14ac:dyDescent="0.25">
      <c r="B134" s="35">
        <v>46746</v>
      </c>
      <c r="C134" s="34" t="s">
        <v>17</v>
      </c>
      <c r="D134" s="33">
        <v>2027</v>
      </c>
    </row>
    <row r="135" spans="2:4" x14ac:dyDescent="0.25">
      <c r="B135" s="35">
        <v>46753</v>
      </c>
      <c r="C135" s="34" t="s">
        <v>28</v>
      </c>
      <c r="D135" s="33">
        <v>2028</v>
      </c>
    </row>
    <row r="136" spans="2:4" x14ac:dyDescent="0.25">
      <c r="B136" s="35">
        <v>46811</v>
      </c>
      <c r="C136" s="34" t="s">
        <v>27</v>
      </c>
      <c r="D136" s="33">
        <v>2028</v>
      </c>
    </row>
    <row r="137" spans="2:4" x14ac:dyDescent="0.25">
      <c r="B137" s="35">
        <v>46812</v>
      </c>
      <c r="C137" s="34" t="s">
        <v>27</v>
      </c>
      <c r="D137" s="33">
        <v>2028</v>
      </c>
    </row>
    <row r="138" spans="2:4" x14ac:dyDescent="0.25">
      <c r="B138" s="35">
        <v>46857</v>
      </c>
      <c r="C138" s="34" t="s">
        <v>26</v>
      </c>
      <c r="D138" s="33">
        <v>2028</v>
      </c>
    </row>
    <row r="139" spans="2:4" x14ac:dyDescent="0.25">
      <c r="B139" s="35">
        <v>46864</v>
      </c>
      <c r="C139" s="34" t="s">
        <v>25</v>
      </c>
      <c r="D139" s="33">
        <v>2028</v>
      </c>
    </row>
    <row r="140" spans="2:4" x14ac:dyDescent="0.25">
      <c r="B140" s="35">
        <v>46859</v>
      </c>
      <c r="C140" s="34" t="s">
        <v>24</v>
      </c>
      <c r="D140" s="33">
        <v>2028</v>
      </c>
    </row>
    <row r="141" spans="2:4" x14ac:dyDescent="0.25">
      <c r="B141" s="35">
        <v>46874</v>
      </c>
      <c r="C141" s="34" t="s">
        <v>23</v>
      </c>
      <c r="D141" s="33">
        <v>2028</v>
      </c>
    </row>
    <row r="142" spans="2:4" x14ac:dyDescent="0.25">
      <c r="B142" s="35">
        <v>46919</v>
      </c>
      <c r="C142" s="34" t="s">
        <v>22</v>
      </c>
      <c r="D142" s="33">
        <v>2028</v>
      </c>
    </row>
    <row r="143" spans="2:4" x14ac:dyDescent="0.25">
      <c r="B143" s="35">
        <v>47003</v>
      </c>
      <c r="C143" s="34" t="s">
        <v>21</v>
      </c>
      <c r="D143" s="33">
        <v>2028</v>
      </c>
    </row>
    <row r="144" spans="2:4" x14ac:dyDescent="0.25">
      <c r="B144" s="35">
        <v>47038</v>
      </c>
      <c r="C144" s="34" t="s">
        <v>20</v>
      </c>
      <c r="D144" s="33">
        <v>2028</v>
      </c>
    </row>
    <row r="145" spans="2:4" x14ac:dyDescent="0.25">
      <c r="B145" s="35">
        <v>47059</v>
      </c>
      <c r="C145" s="34" t="s">
        <v>19</v>
      </c>
      <c r="D145" s="33">
        <v>2028</v>
      </c>
    </row>
    <row r="146" spans="2:4" x14ac:dyDescent="0.25">
      <c r="B146" s="35">
        <v>47072</v>
      </c>
      <c r="C146" s="34" t="s">
        <v>18</v>
      </c>
      <c r="D146" s="33">
        <v>2028</v>
      </c>
    </row>
    <row r="147" spans="2:4" x14ac:dyDescent="0.25">
      <c r="B147" s="35">
        <v>47112</v>
      </c>
      <c r="C147" s="34" t="s">
        <v>17</v>
      </c>
      <c r="D147" s="33">
        <v>2028</v>
      </c>
    </row>
    <row r="148" spans="2:4" x14ac:dyDescent="0.25">
      <c r="B148" s="35">
        <v>47119</v>
      </c>
      <c r="C148" s="34" t="s">
        <v>28</v>
      </c>
      <c r="D148" s="33">
        <v>2029</v>
      </c>
    </row>
    <row r="149" spans="2:4" x14ac:dyDescent="0.25">
      <c r="B149" s="35">
        <v>47161</v>
      </c>
      <c r="C149" s="34" t="s">
        <v>27</v>
      </c>
      <c r="D149" s="33">
        <v>2029</v>
      </c>
    </row>
    <row r="150" spans="2:4" x14ac:dyDescent="0.25">
      <c r="B150" s="35">
        <v>47162</v>
      </c>
      <c r="C150" s="34" t="s">
        <v>27</v>
      </c>
      <c r="D150" s="33">
        <v>2029</v>
      </c>
    </row>
    <row r="151" spans="2:4" x14ac:dyDescent="0.25">
      <c r="B151" s="35">
        <v>47207</v>
      </c>
      <c r="C151" s="34" t="s">
        <v>26</v>
      </c>
      <c r="D151" s="33">
        <v>2029</v>
      </c>
    </row>
    <row r="152" spans="2:4" x14ac:dyDescent="0.25">
      <c r="B152" s="35">
        <v>47229</v>
      </c>
      <c r="C152" s="34" t="s">
        <v>25</v>
      </c>
      <c r="D152" s="33">
        <v>2029</v>
      </c>
    </row>
    <row r="153" spans="2:4" x14ac:dyDescent="0.25">
      <c r="B153" s="35">
        <v>47209</v>
      </c>
      <c r="C153" s="34" t="s">
        <v>24</v>
      </c>
      <c r="D153" s="33">
        <v>2029</v>
      </c>
    </row>
    <row r="154" spans="2:4" x14ac:dyDescent="0.25">
      <c r="B154" s="35">
        <v>47239</v>
      </c>
      <c r="C154" s="34" t="s">
        <v>23</v>
      </c>
      <c r="D154" s="33">
        <v>2029</v>
      </c>
    </row>
    <row r="155" spans="2:4" x14ac:dyDescent="0.25">
      <c r="B155" s="35">
        <v>47269</v>
      </c>
      <c r="C155" s="34" t="s">
        <v>22</v>
      </c>
      <c r="D155" s="33">
        <v>2029</v>
      </c>
    </row>
    <row r="156" spans="2:4" x14ac:dyDescent="0.25">
      <c r="B156" s="35">
        <v>47368</v>
      </c>
      <c r="C156" s="34" t="s">
        <v>21</v>
      </c>
      <c r="D156" s="33">
        <v>2029</v>
      </c>
    </row>
    <row r="157" spans="2:4" x14ac:dyDescent="0.25">
      <c r="B157" s="35">
        <v>47403</v>
      </c>
      <c r="C157" s="34" t="s">
        <v>20</v>
      </c>
      <c r="D157" s="33">
        <v>2029</v>
      </c>
    </row>
    <row r="158" spans="2:4" x14ac:dyDescent="0.25">
      <c r="B158" s="35">
        <v>47424</v>
      </c>
      <c r="C158" s="34" t="s">
        <v>19</v>
      </c>
      <c r="D158" s="33">
        <v>2029</v>
      </c>
    </row>
    <row r="159" spans="2:4" x14ac:dyDescent="0.25">
      <c r="B159" s="35">
        <v>47437</v>
      </c>
      <c r="C159" s="34" t="s">
        <v>18</v>
      </c>
      <c r="D159" s="33">
        <v>2029</v>
      </c>
    </row>
    <row r="160" spans="2:4" x14ac:dyDescent="0.25">
      <c r="B160" s="35">
        <v>47477</v>
      </c>
      <c r="C160" s="34" t="s">
        <v>17</v>
      </c>
      <c r="D160" s="33">
        <v>2029</v>
      </c>
    </row>
    <row r="161" spans="2:4" x14ac:dyDescent="0.25">
      <c r="B161" s="35">
        <v>47484</v>
      </c>
      <c r="C161" s="34" t="s">
        <v>28</v>
      </c>
      <c r="D161" s="33">
        <v>2030</v>
      </c>
    </row>
    <row r="162" spans="2:4" x14ac:dyDescent="0.25">
      <c r="B162" s="35">
        <v>47546</v>
      </c>
      <c r="C162" s="34" t="s">
        <v>27</v>
      </c>
      <c r="D162" s="33">
        <v>2030</v>
      </c>
    </row>
    <row r="163" spans="2:4" x14ac:dyDescent="0.25">
      <c r="B163" s="35">
        <v>47547</v>
      </c>
      <c r="C163" s="34" t="s">
        <v>27</v>
      </c>
      <c r="D163" s="33">
        <v>2030</v>
      </c>
    </row>
    <row r="164" spans="2:4" x14ac:dyDescent="0.25">
      <c r="B164" s="35">
        <v>47592</v>
      </c>
      <c r="C164" s="34" t="s">
        <v>26</v>
      </c>
      <c r="D164" s="33">
        <v>2030</v>
      </c>
    </row>
    <row r="165" spans="2:4" x14ac:dyDescent="0.25">
      <c r="B165" s="35">
        <v>47594</v>
      </c>
      <c r="C165" s="34" t="s">
        <v>25</v>
      </c>
      <c r="D165" s="33">
        <v>2030</v>
      </c>
    </row>
    <row r="166" spans="2:4" x14ac:dyDescent="0.25">
      <c r="B166" s="35">
        <v>47594</v>
      </c>
      <c r="C166" s="34" t="s">
        <v>24</v>
      </c>
      <c r="D166" s="33">
        <v>2030</v>
      </c>
    </row>
    <row r="167" spans="2:4" x14ac:dyDescent="0.25">
      <c r="B167" s="35">
        <v>47604</v>
      </c>
      <c r="C167" s="34" t="s">
        <v>23</v>
      </c>
      <c r="D167" s="33">
        <v>2030</v>
      </c>
    </row>
    <row r="168" spans="2:4" x14ac:dyDescent="0.25">
      <c r="B168" s="35">
        <v>47654</v>
      </c>
      <c r="C168" s="34" t="s">
        <v>22</v>
      </c>
      <c r="D168" s="33">
        <v>2030</v>
      </c>
    </row>
    <row r="169" spans="2:4" x14ac:dyDescent="0.25">
      <c r="B169" s="35">
        <v>47733</v>
      </c>
      <c r="C169" s="34" t="s">
        <v>21</v>
      </c>
      <c r="D169" s="33">
        <v>2030</v>
      </c>
    </row>
    <row r="170" spans="2:4" x14ac:dyDescent="0.25">
      <c r="B170" s="35">
        <v>47768</v>
      </c>
      <c r="C170" s="34" t="s">
        <v>20</v>
      </c>
      <c r="D170" s="33">
        <v>2030</v>
      </c>
    </row>
    <row r="171" spans="2:4" x14ac:dyDescent="0.25">
      <c r="B171" s="35">
        <v>47789</v>
      </c>
      <c r="C171" s="34" t="s">
        <v>19</v>
      </c>
      <c r="D171" s="33">
        <v>2030</v>
      </c>
    </row>
    <row r="172" spans="2:4" x14ac:dyDescent="0.25">
      <c r="B172" s="35">
        <v>47802</v>
      </c>
      <c r="C172" s="34" t="s">
        <v>18</v>
      </c>
      <c r="D172" s="33">
        <v>2030</v>
      </c>
    </row>
    <row r="173" spans="2:4" x14ac:dyDescent="0.25">
      <c r="B173" s="35">
        <v>47842</v>
      </c>
      <c r="C173" s="34" t="s">
        <v>17</v>
      </c>
      <c r="D173" s="33">
        <v>2030</v>
      </c>
    </row>
    <row r="174" spans="2:4" x14ac:dyDescent="0.25">
      <c r="B174" s="35">
        <v>47849</v>
      </c>
      <c r="C174" s="34" t="s">
        <v>28</v>
      </c>
      <c r="D174" s="33">
        <v>2031</v>
      </c>
    </row>
    <row r="175" spans="2:4" x14ac:dyDescent="0.25">
      <c r="B175" s="35">
        <v>47903</v>
      </c>
      <c r="C175" s="34" t="s">
        <v>27</v>
      </c>
      <c r="D175" s="33">
        <v>2031</v>
      </c>
    </row>
    <row r="176" spans="2:4" x14ac:dyDescent="0.25">
      <c r="B176" s="35">
        <v>47904</v>
      </c>
      <c r="C176" s="34" t="s">
        <v>27</v>
      </c>
      <c r="D176" s="33">
        <v>2031</v>
      </c>
    </row>
    <row r="177" spans="2:4" x14ac:dyDescent="0.25">
      <c r="B177" s="35">
        <v>47949</v>
      </c>
      <c r="C177" s="34" t="s">
        <v>26</v>
      </c>
      <c r="D177" s="33">
        <v>2031</v>
      </c>
    </row>
    <row r="178" spans="2:4" x14ac:dyDescent="0.25">
      <c r="B178" s="35">
        <v>47959</v>
      </c>
      <c r="C178" s="34" t="s">
        <v>25</v>
      </c>
      <c r="D178" s="33">
        <v>2031</v>
      </c>
    </row>
    <row r="179" spans="2:4" x14ac:dyDescent="0.25">
      <c r="B179" s="35">
        <v>47951</v>
      </c>
      <c r="C179" s="34" t="s">
        <v>24</v>
      </c>
      <c r="D179" s="33">
        <v>2031</v>
      </c>
    </row>
    <row r="180" spans="2:4" x14ac:dyDescent="0.25">
      <c r="B180" s="35">
        <v>47969</v>
      </c>
      <c r="C180" s="34" t="s">
        <v>23</v>
      </c>
      <c r="D180" s="33">
        <v>2031</v>
      </c>
    </row>
    <row r="181" spans="2:4" x14ac:dyDescent="0.25">
      <c r="B181" s="35">
        <v>48011</v>
      </c>
      <c r="C181" s="34" t="s">
        <v>22</v>
      </c>
      <c r="D181" s="33">
        <v>2031</v>
      </c>
    </row>
    <row r="182" spans="2:4" x14ac:dyDescent="0.25">
      <c r="B182" s="35">
        <v>48098</v>
      </c>
      <c r="C182" s="34" t="s">
        <v>21</v>
      </c>
      <c r="D182" s="33">
        <v>2031</v>
      </c>
    </row>
    <row r="183" spans="2:4" x14ac:dyDescent="0.25">
      <c r="B183" s="35">
        <v>48133</v>
      </c>
      <c r="C183" s="34" t="s">
        <v>20</v>
      </c>
      <c r="D183" s="33">
        <v>2031</v>
      </c>
    </row>
    <row r="184" spans="2:4" x14ac:dyDescent="0.25">
      <c r="B184" s="35">
        <v>48154</v>
      </c>
      <c r="C184" s="34" t="s">
        <v>19</v>
      </c>
      <c r="D184" s="33">
        <v>2031</v>
      </c>
    </row>
    <row r="185" spans="2:4" x14ac:dyDescent="0.25">
      <c r="B185" s="35">
        <v>48167</v>
      </c>
      <c r="C185" s="34" t="s">
        <v>18</v>
      </c>
      <c r="D185" s="33">
        <v>2031</v>
      </c>
    </row>
    <row r="186" spans="2:4" x14ac:dyDescent="0.25">
      <c r="B186" s="35">
        <v>48207</v>
      </c>
      <c r="C186" s="34" t="s">
        <v>17</v>
      </c>
      <c r="D186" s="33">
        <v>2031</v>
      </c>
    </row>
    <row r="187" spans="2:4" x14ac:dyDescent="0.25">
      <c r="B187" s="35">
        <v>48214</v>
      </c>
      <c r="C187" s="34" t="s">
        <v>28</v>
      </c>
      <c r="D187" s="33">
        <v>2032</v>
      </c>
    </row>
    <row r="188" spans="2:4" x14ac:dyDescent="0.25">
      <c r="B188" s="35">
        <v>48253</v>
      </c>
      <c r="C188" s="34" t="s">
        <v>27</v>
      </c>
      <c r="D188" s="33">
        <v>2032</v>
      </c>
    </row>
    <row r="189" spans="2:4" x14ac:dyDescent="0.25">
      <c r="B189" s="35">
        <v>48254</v>
      </c>
      <c r="C189" s="34" t="s">
        <v>27</v>
      </c>
      <c r="D189" s="33">
        <v>2032</v>
      </c>
    </row>
    <row r="190" spans="2:4" x14ac:dyDescent="0.25">
      <c r="B190" s="35">
        <v>48299</v>
      </c>
      <c r="C190" s="34" t="s">
        <v>26</v>
      </c>
      <c r="D190" s="33">
        <v>2032</v>
      </c>
    </row>
    <row r="191" spans="2:4" x14ac:dyDescent="0.25">
      <c r="B191" s="35">
        <v>48325</v>
      </c>
      <c r="C191" s="34" t="s">
        <v>25</v>
      </c>
      <c r="D191" s="33">
        <v>2032</v>
      </c>
    </row>
    <row r="192" spans="2:4" x14ac:dyDescent="0.25">
      <c r="B192" s="35">
        <v>48301</v>
      </c>
      <c r="C192" s="34" t="s">
        <v>24</v>
      </c>
      <c r="D192" s="33">
        <v>2032</v>
      </c>
    </row>
    <row r="193" spans="2:4" x14ac:dyDescent="0.25">
      <c r="B193" s="35">
        <v>48335</v>
      </c>
      <c r="C193" s="34" t="s">
        <v>23</v>
      </c>
      <c r="D193" s="33">
        <v>2032</v>
      </c>
    </row>
    <row r="194" spans="2:4" x14ac:dyDescent="0.25">
      <c r="B194" s="35">
        <v>48361</v>
      </c>
      <c r="C194" s="34" t="s">
        <v>22</v>
      </c>
      <c r="D194" s="33">
        <v>2032</v>
      </c>
    </row>
    <row r="195" spans="2:4" x14ac:dyDescent="0.25">
      <c r="B195" s="35">
        <v>48464</v>
      </c>
      <c r="C195" s="34" t="s">
        <v>21</v>
      </c>
      <c r="D195" s="33">
        <v>2032</v>
      </c>
    </row>
    <row r="196" spans="2:4" x14ac:dyDescent="0.25">
      <c r="B196" s="35">
        <v>48499</v>
      </c>
      <c r="C196" s="34" t="s">
        <v>20</v>
      </c>
      <c r="D196" s="33">
        <v>2032</v>
      </c>
    </row>
    <row r="197" spans="2:4" x14ac:dyDescent="0.25">
      <c r="B197" s="35">
        <v>48520</v>
      </c>
      <c r="C197" s="34" t="s">
        <v>19</v>
      </c>
      <c r="D197" s="33">
        <v>2032</v>
      </c>
    </row>
    <row r="198" spans="2:4" x14ac:dyDescent="0.25">
      <c r="B198" s="35">
        <v>48533</v>
      </c>
      <c r="C198" s="34" t="s">
        <v>18</v>
      </c>
      <c r="D198" s="33">
        <v>2032</v>
      </c>
    </row>
    <row r="199" spans="2:4" x14ac:dyDescent="0.25">
      <c r="B199" s="35">
        <v>48573</v>
      </c>
      <c r="C199" s="34" t="s">
        <v>17</v>
      </c>
      <c r="D199" s="33">
        <v>2032</v>
      </c>
    </row>
    <row r="200" spans="2:4" x14ac:dyDescent="0.25">
      <c r="B200" s="35">
        <v>48580</v>
      </c>
      <c r="C200" s="34" t="s">
        <v>28</v>
      </c>
      <c r="D200" s="33">
        <v>2033</v>
      </c>
    </row>
    <row r="201" spans="2:4" x14ac:dyDescent="0.25">
      <c r="B201" s="35">
        <v>48638</v>
      </c>
      <c r="C201" s="34" t="s">
        <v>27</v>
      </c>
      <c r="D201" s="33">
        <v>2033</v>
      </c>
    </row>
    <row r="202" spans="2:4" x14ac:dyDescent="0.25">
      <c r="B202" s="35">
        <v>48639</v>
      </c>
      <c r="C202" s="34" t="s">
        <v>27</v>
      </c>
      <c r="D202" s="33">
        <v>2033</v>
      </c>
    </row>
    <row r="203" spans="2:4" x14ac:dyDescent="0.25">
      <c r="B203" s="35">
        <v>48684</v>
      </c>
      <c r="C203" s="34" t="s">
        <v>26</v>
      </c>
      <c r="D203" s="33">
        <v>2033</v>
      </c>
    </row>
    <row r="204" spans="2:4" x14ac:dyDescent="0.25">
      <c r="B204" s="35">
        <v>48690</v>
      </c>
      <c r="C204" s="34" t="s">
        <v>25</v>
      </c>
      <c r="D204" s="33">
        <v>2033</v>
      </c>
    </row>
    <row r="205" spans="2:4" x14ac:dyDescent="0.25">
      <c r="B205" s="35">
        <v>48686</v>
      </c>
      <c r="C205" s="34" t="s">
        <v>24</v>
      </c>
      <c r="D205" s="33">
        <v>2033</v>
      </c>
    </row>
    <row r="206" spans="2:4" x14ac:dyDescent="0.25">
      <c r="B206" s="35">
        <v>48700</v>
      </c>
      <c r="C206" s="34" t="s">
        <v>23</v>
      </c>
      <c r="D206" s="33">
        <v>2033</v>
      </c>
    </row>
    <row r="207" spans="2:4" x14ac:dyDescent="0.25">
      <c r="B207" s="35">
        <v>48746</v>
      </c>
      <c r="C207" s="34" t="s">
        <v>22</v>
      </c>
      <c r="D207" s="33">
        <v>2033</v>
      </c>
    </row>
    <row r="208" spans="2:4" x14ac:dyDescent="0.25">
      <c r="B208" s="35">
        <v>48829</v>
      </c>
      <c r="C208" s="34" t="s">
        <v>21</v>
      </c>
      <c r="D208" s="33">
        <v>2033</v>
      </c>
    </row>
    <row r="209" spans="2:4" x14ac:dyDescent="0.25">
      <c r="B209" s="35">
        <v>48864</v>
      </c>
      <c r="C209" s="34" t="s">
        <v>20</v>
      </c>
      <c r="D209" s="33">
        <v>2033</v>
      </c>
    </row>
    <row r="210" spans="2:4" x14ac:dyDescent="0.25">
      <c r="B210" s="35">
        <v>48885</v>
      </c>
      <c r="C210" s="34" t="s">
        <v>19</v>
      </c>
      <c r="D210" s="33">
        <v>2033</v>
      </c>
    </row>
    <row r="211" spans="2:4" x14ac:dyDescent="0.25">
      <c r="B211" s="35">
        <v>48898</v>
      </c>
      <c r="C211" s="34" t="s">
        <v>18</v>
      </c>
      <c r="D211" s="33">
        <v>2033</v>
      </c>
    </row>
    <row r="212" spans="2:4" x14ac:dyDescent="0.25">
      <c r="B212" s="35">
        <v>48938</v>
      </c>
      <c r="C212" s="34" t="s">
        <v>17</v>
      </c>
      <c r="D212" s="33">
        <v>2033</v>
      </c>
    </row>
    <row r="213" spans="2:4" x14ac:dyDescent="0.25">
      <c r="B213" s="35">
        <v>48945</v>
      </c>
      <c r="C213" s="34" t="s">
        <v>28</v>
      </c>
      <c r="D213" s="33">
        <v>2034</v>
      </c>
    </row>
    <row r="214" spans="2:4" x14ac:dyDescent="0.25">
      <c r="B214" s="35">
        <v>48995</v>
      </c>
      <c r="C214" s="34" t="s">
        <v>27</v>
      </c>
      <c r="D214" s="33">
        <v>2034</v>
      </c>
    </row>
    <row r="215" spans="2:4" x14ac:dyDescent="0.25">
      <c r="B215" s="35">
        <v>48996</v>
      </c>
      <c r="C215" s="34" t="s">
        <v>27</v>
      </c>
      <c r="D215" s="33">
        <v>2034</v>
      </c>
    </row>
    <row r="216" spans="2:4" x14ac:dyDescent="0.25">
      <c r="B216" s="35">
        <v>49041</v>
      </c>
      <c r="C216" s="34" t="s">
        <v>26</v>
      </c>
      <c r="D216" s="33">
        <v>2034</v>
      </c>
    </row>
    <row r="217" spans="2:4" x14ac:dyDescent="0.25">
      <c r="B217" s="35">
        <v>49055</v>
      </c>
      <c r="C217" s="34" t="s">
        <v>25</v>
      </c>
      <c r="D217" s="33">
        <v>2034</v>
      </c>
    </row>
    <row r="218" spans="2:4" x14ac:dyDescent="0.25">
      <c r="B218" s="35">
        <v>49043</v>
      </c>
      <c r="C218" s="34" t="s">
        <v>24</v>
      </c>
      <c r="D218" s="33">
        <v>2034</v>
      </c>
    </row>
    <row r="219" spans="2:4" x14ac:dyDescent="0.25">
      <c r="B219" s="35">
        <v>49065</v>
      </c>
      <c r="C219" s="34" t="s">
        <v>23</v>
      </c>
      <c r="D219" s="33">
        <v>2034</v>
      </c>
    </row>
    <row r="220" spans="2:4" x14ac:dyDescent="0.25">
      <c r="B220" s="35">
        <v>49103</v>
      </c>
      <c r="C220" s="34" t="s">
        <v>22</v>
      </c>
      <c r="D220" s="33">
        <v>2034</v>
      </c>
    </row>
    <row r="221" spans="2:4" x14ac:dyDescent="0.25">
      <c r="B221" s="35">
        <v>49194</v>
      </c>
      <c r="C221" s="34" t="s">
        <v>21</v>
      </c>
      <c r="D221" s="33">
        <v>2034</v>
      </c>
    </row>
    <row r="222" spans="2:4" x14ac:dyDescent="0.25">
      <c r="B222" s="35">
        <v>49229</v>
      </c>
      <c r="C222" s="34" t="s">
        <v>20</v>
      </c>
      <c r="D222" s="33">
        <v>2034</v>
      </c>
    </row>
    <row r="223" spans="2:4" x14ac:dyDescent="0.25">
      <c r="B223" s="35">
        <v>49250</v>
      </c>
      <c r="C223" s="34" t="s">
        <v>19</v>
      </c>
      <c r="D223" s="33">
        <v>2034</v>
      </c>
    </row>
    <row r="224" spans="2:4" x14ac:dyDescent="0.25">
      <c r="B224" s="35">
        <v>49263</v>
      </c>
      <c r="C224" s="34" t="s">
        <v>18</v>
      </c>
      <c r="D224" s="33">
        <v>2034</v>
      </c>
    </row>
    <row r="225" spans="2:4" x14ac:dyDescent="0.25">
      <c r="B225" s="35">
        <v>49303</v>
      </c>
      <c r="C225" s="34" t="s">
        <v>17</v>
      </c>
      <c r="D225" s="33">
        <v>2034</v>
      </c>
    </row>
    <row r="226" spans="2:4" x14ac:dyDescent="0.25">
      <c r="B226" s="35">
        <v>49310</v>
      </c>
      <c r="C226" s="34" t="s">
        <v>28</v>
      </c>
      <c r="D226" s="33">
        <v>2035</v>
      </c>
    </row>
    <row r="227" spans="2:4" x14ac:dyDescent="0.25">
      <c r="B227" s="35">
        <v>49345</v>
      </c>
      <c r="C227" s="34" t="s">
        <v>27</v>
      </c>
      <c r="D227" s="33">
        <v>2035</v>
      </c>
    </row>
    <row r="228" spans="2:4" x14ac:dyDescent="0.25">
      <c r="B228" s="35">
        <v>49346</v>
      </c>
      <c r="C228" s="34" t="s">
        <v>27</v>
      </c>
      <c r="D228" s="33">
        <v>2035</v>
      </c>
    </row>
    <row r="229" spans="2:4" x14ac:dyDescent="0.25">
      <c r="B229" s="35">
        <v>49391</v>
      </c>
      <c r="C229" s="34" t="s">
        <v>26</v>
      </c>
      <c r="D229" s="33">
        <v>2035</v>
      </c>
    </row>
    <row r="230" spans="2:4" x14ac:dyDescent="0.25">
      <c r="B230" s="35">
        <v>49420</v>
      </c>
      <c r="C230" s="34" t="s">
        <v>25</v>
      </c>
      <c r="D230" s="33">
        <v>2035</v>
      </c>
    </row>
    <row r="231" spans="2:4" x14ac:dyDescent="0.25">
      <c r="B231" s="35">
        <v>49393</v>
      </c>
      <c r="C231" s="34" t="s">
        <v>24</v>
      </c>
      <c r="D231" s="33">
        <v>2035</v>
      </c>
    </row>
    <row r="232" spans="2:4" x14ac:dyDescent="0.25">
      <c r="B232" s="35">
        <v>49430</v>
      </c>
      <c r="C232" s="34" t="s">
        <v>23</v>
      </c>
      <c r="D232" s="33">
        <v>2035</v>
      </c>
    </row>
    <row r="233" spans="2:4" x14ac:dyDescent="0.25">
      <c r="B233" s="35">
        <v>49453</v>
      </c>
      <c r="C233" s="34" t="s">
        <v>22</v>
      </c>
      <c r="D233" s="33">
        <v>2035</v>
      </c>
    </row>
    <row r="234" spans="2:4" x14ac:dyDescent="0.25">
      <c r="B234" s="35">
        <v>49559</v>
      </c>
      <c r="C234" s="34" t="s">
        <v>21</v>
      </c>
      <c r="D234" s="33">
        <v>2035</v>
      </c>
    </row>
    <row r="235" spans="2:4" x14ac:dyDescent="0.25">
      <c r="B235" s="35">
        <v>49594</v>
      </c>
      <c r="C235" s="34" t="s">
        <v>20</v>
      </c>
      <c r="D235" s="33">
        <v>2035</v>
      </c>
    </row>
    <row r="236" spans="2:4" x14ac:dyDescent="0.25">
      <c r="B236" s="35">
        <v>49615</v>
      </c>
      <c r="C236" s="34" t="s">
        <v>19</v>
      </c>
      <c r="D236" s="33">
        <v>2035</v>
      </c>
    </row>
    <row r="237" spans="2:4" x14ac:dyDescent="0.25">
      <c r="B237" s="35">
        <v>49628</v>
      </c>
      <c r="C237" s="34" t="s">
        <v>18</v>
      </c>
      <c r="D237" s="33">
        <v>2035</v>
      </c>
    </row>
    <row r="238" spans="2:4" x14ac:dyDescent="0.25">
      <c r="B238" s="35">
        <v>49668</v>
      </c>
      <c r="C238" s="34" t="s">
        <v>17</v>
      </c>
      <c r="D238" s="33">
        <v>2035</v>
      </c>
    </row>
    <row r="239" spans="2:4" x14ac:dyDescent="0.25">
      <c r="B239" s="35">
        <v>49675</v>
      </c>
      <c r="C239" s="34" t="s">
        <v>28</v>
      </c>
      <c r="D239" s="33">
        <v>2036</v>
      </c>
    </row>
    <row r="240" spans="2:4" x14ac:dyDescent="0.25">
      <c r="B240" s="35">
        <v>49730</v>
      </c>
      <c r="C240" s="34" t="s">
        <v>27</v>
      </c>
      <c r="D240" s="33">
        <v>2036</v>
      </c>
    </row>
    <row r="241" spans="2:4" x14ac:dyDescent="0.25">
      <c r="B241" s="35">
        <v>49731</v>
      </c>
      <c r="C241" s="34" t="s">
        <v>27</v>
      </c>
      <c r="D241" s="33">
        <v>2036</v>
      </c>
    </row>
    <row r="242" spans="2:4" x14ac:dyDescent="0.25">
      <c r="B242" s="35">
        <v>49776</v>
      </c>
      <c r="C242" s="34" t="s">
        <v>26</v>
      </c>
      <c r="D242" s="33">
        <v>2036</v>
      </c>
    </row>
    <row r="243" spans="2:4" x14ac:dyDescent="0.25">
      <c r="B243" s="35">
        <v>49786</v>
      </c>
      <c r="C243" s="34" t="s">
        <v>25</v>
      </c>
      <c r="D243" s="33">
        <v>2036</v>
      </c>
    </row>
    <row r="244" spans="2:4" x14ac:dyDescent="0.25">
      <c r="B244" s="35">
        <v>49778</v>
      </c>
      <c r="C244" s="34" t="s">
        <v>24</v>
      </c>
      <c r="D244" s="33">
        <v>2036</v>
      </c>
    </row>
    <row r="245" spans="2:4" x14ac:dyDescent="0.25">
      <c r="B245" s="35">
        <v>49796</v>
      </c>
      <c r="C245" s="34" t="s">
        <v>23</v>
      </c>
      <c r="D245" s="33">
        <v>2036</v>
      </c>
    </row>
    <row r="246" spans="2:4" x14ac:dyDescent="0.25">
      <c r="B246" s="35">
        <v>49838</v>
      </c>
      <c r="C246" s="34" t="s">
        <v>22</v>
      </c>
      <c r="D246" s="33">
        <v>2036</v>
      </c>
    </row>
    <row r="247" spans="2:4" x14ac:dyDescent="0.25">
      <c r="B247" s="35">
        <v>49925</v>
      </c>
      <c r="C247" s="34" t="s">
        <v>21</v>
      </c>
      <c r="D247" s="33">
        <v>2036</v>
      </c>
    </row>
    <row r="248" spans="2:4" x14ac:dyDescent="0.25">
      <c r="B248" s="35">
        <v>49960</v>
      </c>
      <c r="C248" s="34" t="s">
        <v>20</v>
      </c>
      <c r="D248" s="33">
        <v>2036</v>
      </c>
    </row>
    <row r="249" spans="2:4" x14ac:dyDescent="0.25">
      <c r="B249" s="35">
        <v>49981</v>
      </c>
      <c r="C249" s="34" t="s">
        <v>19</v>
      </c>
      <c r="D249" s="33">
        <v>2036</v>
      </c>
    </row>
    <row r="250" spans="2:4" x14ac:dyDescent="0.25">
      <c r="B250" s="35">
        <v>49994</v>
      </c>
      <c r="C250" s="34" t="s">
        <v>18</v>
      </c>
      <c r="D250" s="33">
        <v>2036</v>
      </c>
    </row>
    <row r="251" spans="2:4" x14ac:dyDescent="0.25">
      <c r="B251" s="35">
        <v>50034</v>
      </c>
      <c r="C251" s="34" t="s">
        <v>17</v>
      </c>
      <c r="D251" s="33">
        <v>2036</v>
      </c>
    </row>
    <row r="252" spans="2:4" x14ac:dyDescent="0.25">
      <c r="B252" s="35">
        <v>50041</v>
      </c>
      <c r="C252" s="34" t="s">
        <v>28</v>
      </c>
      <c r="D252" s="33">
        <v>2037</v>
      </c>
    </row>
    <row r="253" spans="2:4" x14ac:dyDescent="0.25">
      <c r="B253" s="35">
        <v>50087</v>
      </c>
      <c r="C253" s="34" t="s">
        <v>27</v>
      </c>
      <c r="D253" s="33">
        <v>2037</v>
      </c>
    </row>
    <row r="254" spans="2:4" x14ac:dyDescent="0.25">
      <c r="B254" s="35">
        <v>50088</v>
      </c>
      <c r="C254" s="34" t="s">
        <v>27</v>
      </c>
      <c r="D254" s="33">
        <v>2037</v>
      </c>
    </row>
    <row r="255" spans="2:4" x14ac:dyDescent="0.25">
      <c r="B255" s="35">
        <v>50133</v>
      </c>
      <c r="C255" s="34" t="s">
        <v>26</v>
      </c>
      <c r="D255" s="33">
        <v>2037</v>
      </c>
    </row>
    <row r="256" spans="2:4" x14ac:dyDescent="0.25">
      <c r="B256" s="35">
        <v>50151</v>
      </c>
      <c r="C256" s="34" t="s">
        <v>25</v>
      </c>
      <c r="D256" s="33">
        <v>2037</v>
      </c>
    </row>
    <row r="257" spans="2:4" x14ac:dyDescent="0.25">
      <c r="B257" s="35">
        <v>50135</v>
      </c>
      <c r="C257" s="34" t="s">
        <v>24</v>
      </c>
      <c r="D257" s="33">
        <v>2037</v>
      </c>
    </row>
    <row r="258" spans="2:4" x14ac:dyDescent="0.25">
      <c r="B258" s="35">
        <v>50161</v>
      </c>
      <c r="C258" s="34" t="s">
        <v>23</v>
      </c>
      <c r="D258" s="33">
        <v>2037</v>
      </c>
    </row>
    <row r="259" spans="2:4" x14ac:dyDescent="0.25">
      <c r="B259" s="35">
        <v>50195</v>
      </c>
      <c r="C259" s="34" t="s">
        <v>22</v>
      </c>
      <c r="D259" s="33">
        <v>2037</v>
      </c>
    </row>
    <row r="260" spans="2:4" x14ac:dyDescent="0.25">
      <c r="B260" s="35">
        <v>50290</v>
      </c>
      <c r="C260" s="34" t="s">
        <v>21</v>
      </c>
      <c r="D260" s="33">
        <v>2037</v>
      </c>
    </row>
    <row r="261" spans="2:4" x14ac:dyDescent="0.25">
      <c r="B261" s="35">
        <v>50325</v>
      </c>
      <c r="C261" s="34" t="s">
        <v>20</v>
      </c>
      <c r="D261" s="33">
        <v>2037</v>
      </c>
    </row>
    <row r="262" spans="2:4" x14ac:dyDescent="0.25">
      <c r="B262" s="35">
        <v>50346</v>
      </c>
      <c r="C262" s="34" t="s">
        <v>19</v>
      </c>
      <c r="D262" s="33">
        <v>2037</v>
      </c>
    </row>
    <row r="263" spans="2:4" x14ac:dyDescent="0.25">
      <c r="B263" s="35">
        <v>50359</v>
      </c>
      <c r="C263" s="34" t="s">
        <v>18</v>
      </c>
      <c r="D263" s="33">
        <v>2037</v>
      </c>
    </row>
    <row r="264" spans="2:4" x14ac:dyDescent="0.25">
      <c r="B264" s="35">
        <v>50399</v>
      </c>
      <c r="C264" s="34" t="s">
        <v>17</v>
      </c>
      <c r="D264" s="33">
        <v>2037</v>
      </c>
    </row>
    <row r="265" spans="2:4" x14ac:dyDescent="0.25">
      <c r="B265" s="35">
        <v>50406</v>
      </c>
      <c r="C265" s="34" t="s">
        <v>28</v>
      </c>
      <c r="D265" s="33">
        <v>2038</v>
      </c>
    </row>
    <row r="266" spans="2:4" x14ac:dyDescent="0.25">
      <c r="B266" s="35">
        <v>50472</v>
      </c>
      <c r="C266" s="34" t="s">
        <v>27</v>
      </c>
      <c r="D266" s="33">
        <v>2038</v>
      </c>
    </row>
    <row r="267" spans="2:4" x14ac:dyDescent="0.25">
      <c r="B267" s="35">
        <v>50473</v>
      </c>
      <c r="C267" s="34" t="s">
        <v>27</v>
      </c>
      <c r="D267" s="33">
        <v>2038</v>
      </c>
    </row>
    <row r="268" spans="2:4" x14ac:dyDescent="0.25">
      <c r="B268" s="35">
        <v>50518</v>
      </c>
      <c r="C268" s="34" t="s">
        <v>26</v>
      </c>
      <c r="D268" s="33">
        <v>2038</v>
      </c>
    </row>
    <row r="269" spans="2:4" x14ac:dyDescent="0.25">
      <c r="B269" s="35">
        <v>50516</v>
      </c>
      <c r="C269" s="34" t="s">
        <v>25</v>
      </c>
      <c r="D269" s="33">
        <v>2038</v>
      </c>
    </row>
    <row r="270" spans="2:4" x14ac:dyDescent="0.25">
      <c r="B270" s="35">
        <v>50520</v>
      </c>
      <c r="C270" s="34" t="s">
        <v>24</v>
      </c>
      <c r="D270" s="33">
        <v>2038</v>
      </c>
    </row>
    <row r="271" spans="2:4" x14ac:dyDescent="0.25">
      <c r="B271" s="35">
        <v>50526</v>
      </c>
      <c r="C271" s="34" t="s">
        <v>23</v>
      </c>
      <c r="D271" s="33">
        <v>2038</v>
      </c>
    </row>
    <row r="272" spans="2:4" x14ac:dyDescent="0.25">
      <c r="B272" s="35">
        <v>50580</v>
      </c>
      <c r="C272" s="34" t="s">
        <v>22</v>
      </c>
      <c r="D272" s="33">
        <v>2038</v>
      </c>
    </row>
    <row r="273" spans="2:4" x14ac:dyDescent="0.25">
      <c r="B273" s="35">
        <v>50655</v>
      </c>
      <c r="C273" s="34" t="s">
        <v>21</v>
      </c>
      <c r="D273" s="33">
        <v>2038</v>
      </c>
    </row>
    <row r="274" spans="2:4" x14ac:dyDescent="0.25">
      <c r="B274" s="35">
        <v>50690</v>
      </c>
      <c r="C274" s="34" t="s">
        <v>20</v>
      </c>
      <c r="D274" s="33">
        <v>2038</v>
      </c>
    </row>
    <row r="275" spans="2:4" x14ac:dyDescent="0.25">
      <c r="B275" s="35">
        <v>50711</v>
      </c>
      <c r="C275" s="34" t="s">
        <v>19</v>
      </c>
      <c r="D275" s="33">
        <v>2038</v>
      </c>
    </row>
    <row r="276" spans="2:4" x14ac:dyDescent="0.25">
      <c r="B276" s="35">
        <v>50724</v>
      </c>
      <c r="C276" s="34" t="s">
        <v>18</v>
      </c>
      <c r="D276" s="33">
        <v>2038</v>
      </c>
    </row>
    <row r="277" spans="2:4" x14ac:dyDescent="0.25">
      <c r="B277" s="35">
        <v>50764</v>
      </c>
      <c r="C277" s="34" t="s">
        <v>17</v>
      </c>
      <c r="D277" s="33">
        <v>2038</v>
      </c>
    </row>
    <row r="278" spans="2:4" x14ac:dyDescent="0.25">
      <c r="B278" s="35">
        <v>50771</v>
      </c>
      <c r="C278" s="34" t="s">
        <v>28</v>
      </c>
      <c r="D278" s="33">
        <v>2039</v>
      </c>
    </row>
    <row r="279" spans="2:4" x14ac:dyDescent="0.25">
      <c r="B279" s="35">
        <v>50822</v>
      </c>
      <c r="C279" s="34" t="s">
        <v>27</v>
      </c>
      <c r="D279" s="33">
        <v>2039</v>
      </c>
    </row>
    <row r="280" spans="2:4" x14ac:dyDescent="0.25">
      <c r="B280" s="35">
        <v>50823</v>
      </c>
      <c r="C280" s="34" t="s">
        <v>27</v>
      </c>
      <c r="D280" s="33">
        <v>2039</v>
      </c>
    </row>
    <row r="281" spans="2:4" x14ac:dyDescent="0.25">
      <c r="B281" s="35">
        <v>50868</v>
      </c>
      <c r="C281" s="34" t="s">
        <v>26</v>
      </c>
      <c r="D281" s="33">
        <v>2039</v>
      </c>
    </row>
    <row r="282" spans="2:4" x14ac:dyDescent="0.25">
      <c r="B282" s="35">
        <v>50881</v>
      </c>
      <c r="C282" s="34" t="s">
        <v>25</v>
      </c>
      <c r="D282" s="33">
        <v>2039</v>
      </c>
    </row>
    <row r="283" spans="2:4" x14ac:dyDescent="0.25">
      <c r="B283" s="35">
        <v>50870</v>
      </c>
      <c r="C283" s="34" t="s">
        <v>24</v>
      </c>
      <c r="D283" s="33">
        <v>2039</v>
      </c>
    </row>
    <row r="284" spans="2:4" x14ac:dyDescent="0.25">
      <c r="B284" s="35">
        <v>50891</v>
      </c>
      <c r="C284" s="34" t="s">
        <v>23</v>
      </c>
      <c r="D284" s="33">
        <v>2039</v>
      </c>
    </row>
    <row r="285" spans="2:4" x14ac:dyDescent="0.25">
      <c r="B285" s="35">
        <v>50930</v>
      </c>
      <c r="C285" s="34" t="s">
        <v>22</v>
      </c>
      <c r="D285" s="33">
        <v>2039</v>
      </c>
    </row>
    <row r="286" spans="2:4" x14ac:dyDescent="0.25">
      <c r="B286" s="35">
        <v>51020</v>
      </c>
      <c r="C286" s="34" t="s">
        <v>21</v>
      </c>
      <c r="D286" s="33">
        <v>2039</v>
      </c>
    </row>
    <row r="287" spans="2:4" x14ac:dyDescent="0.25">
      <c r="B287" s="35">
        <v>51055</v>
      </c>
      <c r="C287" s="34" t="s">
        <v>20</v>
      </c>
      <c r="D287" s="33">
        <v>2039</v>
      </c>
    </row>
    <row r="288" spans="2:4" x14ac:dyDescent="0.25">
      <c r="B288" s="35">
        <v>51076</v>
      </c>
      <c r="C288" s="34" t="s">
        <v>19</v>
      </c>
      <c r="D288" s="33">
        <v>2039</v>
      </c>
    </row>
    <row r="289" spans="2:4" x14ac:dyDescent="0.25">
      <c r="B289" s="35">
        <v>51089</v>
      </c>
      <c r="C289" s="34" t="s">
        <v>18</v>
      </c>
      <c r="D289" s="33">
        <v>2039</v>
      </c>
    </row>
    <row r="290" spans="2:4" x14ac:dyDescent="0.25">
      <c r="B290" s="35">
        <v>51129</v>
      </c>
      <c r="C290" s="34" t="s">
        <v>17</v>
      </c>
      <c r="D290" s="33">
        <v>2039</v>
      </c>
    </row>
    <row r="291" spans="2:4" x14ac:dyDescent="0.25">
      <c r="B291" s="35">
        <v>51136</v>
      </c>
      <c r="C291" s="34" t="s">
        <v>28</v>
      </c>
      <c r="D291" s="33">
        <v>2040</v>
      </c>
    </row>
    <row r="292" spans="2:4" x14ac:dyDescent="0.25">
      <c r="B292" s="35">
        <v>51179</v>
      </c>
      <c r="C292" s="34" t="s">
        <v>27</v>
      </c>
      <c r="D292" s="33">
        <v>2040</v>
      </c>
    </row>
    <row r="293" spans="2:4" x14ac:dyDescent="0.25">
      <c r="B293" s="35">
        <v>51180</v>
      </c>
      <c r="C293" s="34" t="s">
        <v>27</v>
      </c>
      <c r="D293" s="33">
        <v>2040</v>
      </c>
    </row>
    <row r="294" spans="2:4" x14ac:dyDescent="0.25">
      <c r="B294" s="35">
        <v>51225</v>
      </c>
      <c r="C294" s="34" t="s">
        <v>26</v>
      </c>
      <c r="D294" s="33">
        <v>2040</v>
      </c>
    </row>
    <row r="295" spans="2:4" x14ac:dyDescent="0.25">
      <c r="B295" s="35">
        <v>51247</v>
      </c>
      <c r="C295" s="34" t="s">
        <v>25</v>
      </c>
      <c r="D295" s="33">
        <v>2040</v>
      </c>
    </row>
    <row r="296" spans="2:4" x14ac:dyDescent="0.25">
      <c r="B296" s="35">
        <v>51227</v>
      </c>
      <c r="C296" s="34" t="s">
        <v>24</v>
      </c>
      <c r="D296" s="33">
        <v>2040</v>
      </c>
    </row>
    <row r="297" spans="2:4" x14ac:dyDescent="0.25">
      <c r="B297" s="35">
        <v>51257</v>
      </c>
      <c r="C297" s="34" t="s">
        <v>23</v>
      </c>
      <c r="D297" s="33">
        <v>2040</v>
      </c>
    </row>
    <row r="298" spans="2:4" x14ac:dyDescent="0.25">
      <c r="B298" s="35">
        <v>51287</v>
      </c>
      <c r="C298" s="34" t="s">
        <v>22</v>
      </c>
      <c r="D298" s="33">
        <v>2040</v>
      </c>
    </row>
    <row r="299" spans="2:4" x14ac:dyDescent="0.25">
      <c r="B299" s="35">
        <v>51386</v>
      </c>
      <c r="C299" s="34" t="s">
        <v>21</v>
      </c>
      <c r="D299" s="33">
        <v>2040</v>
      </c>
    </row>
    <row r="300" spans="2:4" x14ac:dyDescent="0.25">
      <c r="B300" s="35">
        <v>51421</v>
      </c>
      <c r="C300" s="34" t="s">
        <v>20</v>
      </c>
      <c r="D300" s="33">
        <v>2040</v>
      </c>
    </row>
    <row r="301" spans="2:4" x14ac:dyDescent="0.25">
      <c r="B301" s="35">
        <v>51442</v>
      </c>
      <c r="C301" s="34" t="s">
        <v>19</v>
      </c>
      <c r="D301" s="33">
        <v>2040</v>
      </c>
    </row>
    <row r="302" spans="2:4" x14ac:dyDescent="0.25">
      <c r="B302" s="35">
        <v>51455</v>
      </c>
      <c r="C302" s="34" t="s">
        <v>18</v>
      </c>
      <c r="D302" s="33">
        <v>2040</v>
      </c>
    </row>
    <row r="303" spans="2:4" x14ac:dyDescent="0.25">
      <c r="B303" s="35">
        <v>51495</v>
      </c>
      <c r="C303" s="34" t="s">
        <v>17</v>
      </c>
      <c r="D303" s="33">
        <v>2040</v>
      </c>
    </row>
    <row r="304" spans="2:4" x14ac:dyDescent="0.25">
      <c r="B304" s="35">
        <v>51502</v>
      </c>
      <c r="C304" s="34" t="s">
        <v>28</v>
      </c>
      <c r="D304" s="33">
        <v>2041</v>
      </c>
    </row>
    <row r="305" spans="2:4" x14ac:dyDescent="0.25">
      <c r="B305" s="35">
        <v>51564</v>
      </c>
      <c r="C305" s="34" t="s">
        <v>27</v>
      </c>
      <c r="D305" s="33">
        <v>2041</v>
      </c>
    </row>
    <row r="306" spans="2:4" x14ac:dyDescent="0.25">
      <c r="B306" s="35">
        <v>51565</v>
      </c>
      <c r="C306" s="34" t="s">
        <v>27</v>
      </c>
      <c r="D306" s="33">
        <v>2041</v>
      </c>
    </row>
    <row r="307" spans="2:4" x14ac:dyDescent="0.25">
      <c r="B307" s="35">
        <v>51610</v>
      </c>
      <c r="C307" s="34" t="s">
        <v>26</v>
      </c>
      <c r="D307" s="33">
        <v>2041</v>
      </c>
    </row>
    <row r="308" spans="2:4" x14ac:dyDescent="0.25">
      <c r="B308" s="35">
        <v>51612</v>
      </c>
      <c r="C308" s="34" t="s">
        <v>25</v>
      </c>
      <c r="D308" s="33">
        <v>2041</v>
      </c>
    </row>
    <row r="309" spans="2:4" x14ac:dyDescent="0.25">
      <c r="B309" s="35">
        <v>51612</v>
      </c>
      <c r="C309" s="34" t="s">
        <v>24</v>
      </c>
      <c r="D309" s="33">
        <v>2041</v>
      </c>
    </row>
    <row r="310" spans="2:4" x14ac:dyDescent="0.25">
      <c r="B310" s="35">
        <v>51622</v>
      </c>
      <c r="C310" s="34" t="s">
        <v>23</v>
      </c>
      <c r="D310" s="33">
        <v>2041</v>
      </c>
    </row>
    <row r="311" spans="2:4" x14ac:dyDescent="0.25">
      <c r="B311" s="35">
        <v>51672</v>
      </c>
      <c r="C311" s="34" t="s">
        <v>22</v>
      </c>
      <c r="D311" s="33">
        <v>2041</v>
      </c>
    </row>
    <row r="312" spans="2:4" x14ac:dyDescent="0.25">
      <c r="B312" s="35">
        <v>51751</v>
      </c>
      <c r="C312" s="34" t="s">
        <v>21</v>
      </c>
      <c r="D312" s="33">
        <v>2041</v>
      </c>
    </row>
    <row r="313" spans="2:4" x14ac:dyDescent="0.25">
      <c r="B313" s="35">
        <v>51786</v>
      </c>
      <c r="C313" s="34" t="s">
        <v>20</v>
      </c>
      <c r="D313" s="33">
        <v>2041</v>
      </c>
    </row>
    <row r="314" spans="2:4" x14ac:dyDescent="0.25">
      <c r="B314" s="35">
        <v>51807</v>
      </c>
      <c r="C314" s="34" t="s">
        <v>19</v>
      </c>
      <c r="D314" s="33">
        <v>2041</v>
      </c>
    </row>
    <row r="315" spans="2:4" x14ac:dyDescent="0.25">
      <c r="B315" s="35">
        <v>51820</v>
      </c>
      <c r="C315" s="34" t="s">
        <v>18</v>
      </c>
      <c r="D315" s="33">
        <v>2041</v>
      </c>
    </row>
    <row r="316" spans="2:4" x14ac:dyDescent="0.25">
      <c r="B316" s="35">
        <v>51860</v>
      </c>
      <c r="C316" s="34" t="s">
        <v>17</v>
      </c>
      <c r="D316" s="33">
        <v>2041</v>
      </c>
    </row>
    <row r="317" spans="2:4" x14ac:dyDescent="0.25">
      <c r="B317" s="35">
        <v>51867</v>
      </c>
      <c r="C317" s="34" t="s">
        <v>28</v>
      </c>
      <c r="D317" s="33">
        <v>2042</v>
      </c>
    </row>
    <row r="318" spans="2:4" x14ac:dyDescent="0.25">
      <c r="B318" s="35">
        <v>51914</v>
      </c>
      <c r="C318" s="34" t="s">
        <v>27</v>
      </c>
      <c r="D318" s="33">
        <v>2042</v>
      </c>
    </row>
    <row r="319" spans="2:4" x14ac:dyDescent="0.25">
      <c r="B319" s="35">
        <v>51915</v>
      </c>
      <c r="C319" s="34" t="s">
        <v>27</v>
      </c>
      <c r="D319" s="33">
        <v>2042</v>
      </c>
    </row>
    <row r="320" spans="2:4" x14ac:dyDescent="0.25">
      <c r="B320" s="35">
        <v>51960</v>
      </c>
      <c r="C320" s="34" t="s">
        <v>26</v>
      </c>
      <c r="D320" s="33">
        <v>2042</v>
      </c>
    </row>
    <row r="321" spans="2:4" x14ac:dyDescent="0.25">
      <c r="B321" s="35">
        <v>51977</v>
      </c>
      <c r="C321" s="34" t="s">
        <v>25</v>
      </c>
      <c r="D321" s="33">
        <v>2042</v>
      </c>
    </row>
    <row r="322" spans="2:4" x14ac:dyDescent="0.25">
      <c r="B322" s="35">
        <v>51962</v>
      </c>
      <c r="C322" s="34" t="s">
        <v>24</v>
      </c>
      <c r="D322" s="33">
        <v>2042</v>
      </c>
    </row>
    <row r="323" spans="2:4" x14ac:dyDescent="0.25">
      <c r="B323" s="35">
        <v>51987</v>
      </c>
      <c r="C323" s="34" t="s">
        <v>23</v>
      </c>
      <c r="D323" s="33">
        <v>2042</v>
      </c>
    </row>
    <row r="324" spans="2:4" x14ac:dyDescent="0.25">
      <c r="B324" s="35">
        <v>52022</v>
      </c>
      <c r="C324" s="34" t="s">
        <v>22</v>
      </c>
      <c r="D324" s="33">
        <v>2042</v>
      </c>
    </row>
    <row r="325" spans="2:4" x14ac:dyDescent="0.25">
      <c r="B325" s="35">
        <v>52116</v>
      </c>
      <c r="C325" s="34" t="s">
        <v>21</v>
      </c>
      <c r="D325" s="33">
        <v>2042</v>
      </c>
    </row>
    <row r="326" spans="2:4" x14ac:dyDescent="0.25">
      <c r="B326" s="35">
        <v>52151</v>
      </c>
      <c r="C326" s="34" t="s">
        <v>20</v>
      </c>
      <c r="D326" s="33">
        <v>2042</v>
      </c>
    </row>
    <row r="327" spans="2:4" x14ac:dyDescent="0.25">
      <c r="B327" s="35">
        <v>52172</v>
      </c>
      <c r="C327" s="34" t="s">
        <v>19</v>
      </c>
      <c r="D327" s="33">
        <v>2042</v>
      </c>
    </row>
    <row r="328" spans="2:4" x14ac:dyDescent="0.25">
      <c r="B328" s="35">
        <v>52185</v>
      </c>
      <c r="C328" s="34" t="s">
        <v>18</v>
      </c>
      <c r="D328" s="33">
        <v>2042</v>
      </c>
    </row>
    <row r="329" spans="2:4" x14ac:dyDescent="0.25">
      <c r="B329" s="35">
        <v>52225</v>
      </c>
      <c r="C329" s="34" t="s">
        <v>17</v>
      </c>
      <c r="D329" s="33">
        <v>2042</v>
      </c>
    </row>
    <row r="330" spans="2:4" x14ac:dyDescent="0.25">
      <c r="B330" s="35">
        <v>52232</v>
      </c>
      <c r="C330" s="34" t="s">
        <v>28</v>
      </c>
      <c r="D330" s="33">
        <v>2043</v>
      </c>
    </row>
    <row r="331" spans="2:4" x14ac:dyDescent="0.25">
      <c r="B331" s="35">
        <v>52271</v>
      </c>
      <c r="C331" s="34" t="s">
        <v>27</v>
      </c>
      <c r="D331" s="33">
        <v>2043</v>
      </c>
    </row>
    <row r="332" spans="2:4" x14ac:dyDescent="0.25">
      <c r="B332" s="35">
        <v>52272</v>
      </c>
      <c r="C332" s="34" t="s">
        <v>27</v>
      </c>
      <c r="D332" s="33">
        <v>2043</v>
      </c>
    </row>
    <row r="333" spans="2:4" x14ac:dyDescent="0.25">
      <c r="B333" s="35">
        <v>52317</v>
      </c>
      <c r="C333" s="34" t="s">
        <v>26</v>
      </c>
      <c r="D333" s="33">
        <v>2043</v>
      </c>
    </row>
    <row r="334" spans="2:4" x14ac:dyDescent="0.25">
      <c r="B334" s="35">
        <v>52342</v>
      </c>
      <c r="C334" s="34" t="s">
        <v>25</v>
      </c>
      <c r="D334" s="33">
        <v>2043</v>
      </c>
    </row>
    <row r="335" spans="2:4" x14ac:dyDescent="0.25">
      <c r="B335" s="35">
        <v>52319</v>
      </c>
      <c r="C335" s="34" t="s">
        <v>24</v>
      </c>
      <c r="D335" s="33">
        <v>2043</v>
      </c>
    </row>
    <row r="336" spans="2:4" x14ac:dyDescent="0.25">
      <c r="B336" s="35">
        <v>52352</v>
      </c>
      <c r="C336" s="34" t="s">
        <v>23</v>
      </c>
      <c r="D336" s="33">
        <v>2043</v>
      </c>
    </row>
    <row r="337" spans="2:4" x14ac:dyDescent="0.25">
      <c r="B337" s="35">
        <v>52379</v>
      </c>
      <c r="C337" s="34" t="s">
        <v>22</v>
      </c>
      <c r="D337" s="33">
        <v>2043</v>
      </c>
    </row>
    <row r="338" spans="2:4" x14ac:dyDescent="0.25">
      <c r="B338" s="35">
        <v>52481</v>
      </c>
      <c r="C338" s="34" t="s">
        <v>21</v>
      </c>
      <c r="D338" s="33">
        <v>2043</v>
      </c>
    </row>
    <row r="339" spans="2:4" x14ac:dyDescent="0.25">
      <c r="B339" s="35">
        <v>52516</v>
      </c>
      <c r="C339" s="34" t="s">
        <v>20</v>
      </c>
      <c r="D339" s="33">
        <v>2043</v>
      </c>
    </row>
    <row r="340" spans="2:4" x14ac:dyDescent="0.25">
      <c r="B340" s="35">
        <v>52537</v>
      </c>
      <c r="C340" s="34" t="s">
        <v>19</v>
      </c>
      <c r="D340" s="33">
        <v>2043</v>
      </c>
    </row>
    <row r="341" spans="2:4" x14ac:dyDescent="0.25">
      <c r="B341" s="35">
        <v>52550</v>
      </c>
      <c r="C341" s="34" t="s">
        <v>18</v>
      </c>
      <c r="D341" s="33">
        <v>2043</v>
      </c>
    </row>
    <row r="342" spans="2:4" x14ac:dyDescent="0.25">
      <c r="B342" s="35">
        <v>52590</v>
      </c>
      <c r="C342" s="34" t="s">
        <v>17</v>
      </c>
      <c r="D342" s="33">
        <v>2043</v>
      </c>
    </row>
    <row r="343" spans="2:4" x14ac:dyDescent="0.25">
      <c r="B343" s="35">
        <v>52597</v>
      </c>
      <c r="C343" s="34" t="s">
        <v>28</v>
      </c>
      <c r="D343" s="33">
        <v>2044</v>
      </c>
    </row>
    <row r="344" spans="2:4" x14ac:dyDescent="0.25">
      <c r="B344" s="35">
        <v>52656</v>
      </c>
      <c r="C344" s="34" t="s">
        <v>27</v>
      </c>
      <c r="D344" s="33">
        <v>2044</v>
      </c>
    </row>
    <row r="345" spans="2:4" x14ac:dyDescent="0.25">
      <c r="B345" s="35">
        <v>52657</v>
      </c>
      <c r="C345" s="34" t="s">
        <v>27</v>
      </c>
      <c r="D345" s="33">
        <v>2044</v>
      </c>
    </row>
    <row r="346" spans="2:4" x14ac:dyDescent="0.25">
      <c r="B346" s="35">
        <v>52702</v>
      </c>
      <c r="C346" s="34" t="s">
        <v>26</v>
      </c>
      <c r="D346" s="33">
        <v>2044</v>
      </c>
    </row>
    <row r="347" spans="2:4" x14ac:dyDescent="0.25">
      <c r="B347" s="35">
        <v>52708</v>
      </c>
      <c r="C347" s="34" t="s">
        <v>25</v>
      </c>
      <c r="D347" s="33">
        <v>2044</v>
      </c>
    </row>
    <row r="348" spans="2:4" x14ac:dyDescent="0.25">
      <c r="B348" s="35">
        <v>52704</v>
      </c>
      <c r="C348" s="34" t="s">
        <v>24</v>
      </c>
      <c r="D348" s="33">
        <v>2044</v>
      </c>
    </row>
    <row r="349" spans="2:4" x14ac:dyDescent="0.25">
      <c r="B349" s="35">
        <v>52718</v>
      </c>
      <c r="C349" s="34" t="s">
        <v>23</v>
      </c>
      <c r="D349" s="33">
        <v>2044</v>
      </c>
    </row>
    <row r="350" spans="2:4" x14ac:dyDescent="0.25">
      <c r="B350" s="35">
        <v>52764</v>
      </c>
      <c r="C350" s="34" t="s">
        <v>22</v>
      </c>
      <c r="D350" s="33">
        <v>2044</v>
      </c>
    </row>
    <row r="351" spans="2:4" x14ac:dyDescent="0.25">
      <c r="B351" s="35">
        <v>52847</v>
      </c>
      <c r="C351" s="34" t="s">
        <v>21</v>
      </c>
      <c r="D351" s="33">
        <v>2044</v>
      </c>
    </row>
    <row r="352" spans="2:4" x14ac:dyDescent="0.25">
      <c r="B352" s="35">
        <v>52882</v>
      </c>
      <c r="C352" s="34" t="s">
        <v>20</v>
      </c>
      <c r="D352" s="33">
        <v>2044</v>
      </c>
    </row>
    <row r="353" spans="2:4" x14ac:dyDescent="0.25">
      <c r="B353" s="35">
        <v>52903</v>
      </c>
      <c r="C353" s="34" t="s">
        <v>19</v>
      </c>
      <c r="D353" s="33">
        <v>2044</v>
      </c>
    </row>
    <row r="354" spans="2:4" x14ac:dyDescent="0.25">
      <c r="B354" s="35">
        <v>52916</v>
      </c>
      <c r="C354" s="34" t="s">
        <v>18</v>
      </c>
      <c r="D354" s="33">
        <v>2044</v>
      </c>
    </row>
    <row r="355" spans="2:4" x14ac:dyDescent="0.25">
      <c r="B355" s="35">
        <v>52956</v>
      </c>
      <c r="C355" s="34" t="s">
        <v>17</v>
      </c>
      <c r="D355" s="33">
        <v>2044</v>
      </c>
    </row>
    <row r="356" spans="2:4" x14ac:dyDescent="0.25">
      <c r="B356" s="35">
        <v>52963</v>
      </c>
      <c r="C356" s="34" t="s">
        <v>28</v>
      </c>
      <c r="D356" s="33">
        <v>2045</v>
      </c>
    </row>
    <row r="357" spans="2:4" x14ac:dyDescent="0.25">
      <c r="B357" s="35">
        <v>53013</v>
      </c>
      <c r="C357" s="34" t="s">
        <v>27</v>
      </c>
      <c r="D357" s="33">
        <v>2045</v>
      </c>
    </row>
    <row r="358" spans="2:4" x14ac:dyDescent="0.25">
      <c r="B358" s="35">
        <v>53014</v>
      </c>
      <c r="C358" s="34" t="s">
        <v>27</v>
      </c>
      <c r="D358" s="33">
        <v>2045</v>
      </c>
    </row>
    <row r="359" spans="2:4" x14ac:dyDescent="0.25">
      <c r="B359" s="35">
        <v>53059</v>
      </c>
      <c r="C359" s="34" t="s">
        <v>26</v>
      </c>
      <c r="D359" s="33">
        <v>2045</v>
      </c>
    </row>
    <row r="360" spans="2:4" x14ac:dyDescent="0.25">
      <c r="B360" s="35">
        <v>53073</v>
      </c>
      <c r="C360" s="34" t="s">
        <v>25</v>
      </c>
      <c r="D360" s="33">
        <v>2045</v>
      </c>
    </row>
    <row r="361" spans="2:4" x14ac:dyDescent="0.25">
      <c r="B361" s="35">
        <v>53061</v>
      </c>
      <c r="C361" s="34" t="s">
        <v>24</v>
      </c>
      <c r="D361" s="33">
        <v>2045</v>
      </c>
    </row>
    <row r="362" spans="2:4" x14ac:dyDescent="0.25">
      <c r="B362" s="35">
        <v>53083</v>
      </c>
      <c r="C362" s="34" t="s">
        <v>23</v>
      </c>
      <c r="D362" s="33">
        <v>2045</v>
      </c>
    </row>
    <row r="363" spans="2:4" x14ac:dyDescent="0.25">
      <c r="B363" s="35">
        <v>53121</v>
      </c>
      <c r="C363" s="34" t="s">
        <v>22</v>
      </c>
      <c r="D363" s="33">
        <v>2045</v>
      </c>
    </row>
    <row r="364" spans="2:4" x14ac:dyDescent="0.25">
      <c r="B364" s="35">
        <v>53212</v>
      </c>
      <c r="C364" s="34" t="s">
        <v>21</v>
      </c>
      <c r="D364" s="33">
        <v>2045</v>
      </c>
    </row>
    <row r="365" spans="2:4" x14ac:dyDescent="0.25">
      <c r="B365" s="35">
        <v>53247</v>
      </c>
      <c r="C365" s="34" t="s">
        <v>20</v>
      </c>
      <c r="D365" s="33">
        <v>2045</v>
      </c>
    </row>
    <row r="366" spans="2:4" x14ac:dyDescent="0.25">
      <c r="B366" s="35">
        <v>53268</v>
      </c>
      <c r="C366" s="34" t="s">
        <v>19</v>
      </c>
      <c r="D366" s="33">
        <v>2045</v>
      </c>
    </row>
    <row r="367" spans="2:4" x14ac:dyDescent="0.25">
      <c r="B367" s="35">
        <v>53281</v>
      </c>
      <c r="C367" s="34" t="s">
        <v>18</v>
      </c>
      <c r="D367" s="33">
        <v>2045</v>
      </c>
    </row>
    <row r="368" spans="2:4" x14ac:dyDescent="0.25">
      <c r="B368" s="35">
        <v>53321</v>
      </c>
      <c r="C368" s="34" t="s">
        <v>17</v>
      </c>
      <c r="D368" s="33">
        <v>2045</v>
      </c>
    </row>
    <row r="369" spans="2:4" x14ac:dyDescent="0.25">
      <c r="B369" s="35">
        <v>53328</v>
      </c>
      <c r="C369" s="34" t="s">
        <v>28</v>
      </c>
      <c r="D369" s="33">
        <v>2046</v>
      </c>
    </row>
    <row r="370" spans="2:4" x14ac:dyDescent="0.25">
      <c r="B370" s="35">
        <v>53363</v>
      </c>
      <c r="C370" s="34" t="s">
        <v>27</v>
      </c>
      <c r="D370" s="33">
        <v>2046</v>
      </c>
    </row>
    <row r="371" spans="2:4" x14ac:dyDescent="0.25">
      <c r="B371" s="35">
        <v>53364</v>
      </c>
      <c r="C371" s="34" t="s">
        <v>27</v>
      </c>
      <c r="D371" s="33">
        <v>2046</v>
      </c>
    </row>
    <row r="372" spans="2:4" x14ac:dyDescent="0.25">
      <c r="B372" s="35">
        <v>53409</v>
      </c>
      <c r="C372" s="34" t="s">
        <v>26</v>
      </c>
      <c r="D372" s="33">
        <v>2046</v>
      </c>
    </row>
    <row r="373" spans="2:4" x14ac:dyDescent="0.25">
      <c r="B373" s="35">
        <v>53438</v>
      </c>
      <c r="C373" s="34" t="s">
        <v>25</v>
      </c>
      <c r="D373" s="33">
        <v>2046</v>
      </c>
    </row>
    <row r="374" spans="2:4" x14ac:dyDescent="0.25">
      <c r="B374" s="35">
        <v>53411</v>
      </c>
      <c r="C374" s="34" t="s">
        <v>24</v>
      </c>
      <c r="D374" s="33">
        <v>2046</v>
      </c>
    </row>
    <row r="375" spans="2:4" x14ac:dyDescent="0.25">
      <c r="B375" s="35">
        <v>53448</v>
      </c>
      <c r="C375" s="34" t="s">
        <v>23</v>
      </c>
      <c r="D375" s="33">
        <v>2046</v>
      </c>
    </row>
    <row r="376" spans="2:4" x14ac:dyDescent="0.25">
      <c r="B376" s="35">
        <v>53471</v>
      </c>
      <c r="C376" s="34" t="s">
        <v>22</v>
      </c>
      <c r="D376" s="33">
        <v>2046</v>
      </c>
    </row>
    <row r="377" spans="2:4" x14ac:dyDescent="0.25">
      <c r="B377" s="35">
        <v>53577</v>
      </c>
      <c r="C377" s="34" t="s">
        <v>21</v>
      </c>
      <c r="D377" s="33">
        <v>2046</v>
      </c>
    </row>
    <row r="378" spans="2:4" x14ac:dyDescent="0.25">
      <c r="B378" s="35">
        <v>53612</v>
      </c>
      <c r="C378" s="34" t="s">
        <v>20</v>
      </c>
      <c r="D378" s="33">
        <v>2046</v>
      </c>
    </row>
    <row r="379" spans="2:4" x14ac:dyDescent="0.25">
      <c r="B379" s="35">
        <v>53633</v>
      </c>
      <c r="C379" s="34" t="s">
        <v>19</v>
      </c>
      <c r="D379" s="33">
        <v>2046</v>
      </c>
    </row>
    <row r="380" spans="2:4" x14ac:dyDescent="0.25">
      <c r="B380" s="35">
        <v>53646</v>
      </c>
      <c r="C380" s="34" t="s">
        <v>18</v>
      </c>
      <c r="D380" s="33">
        <v>2046</v>
      </c>
    </row>
    <row r="381" spans="2:4" x14ac:dyDescent="0.25">
      <c r="B381" s="35">
        <v>53686</v>
      </c>
      <c r="C381" s="34" t="s">
        <v>17</v>
      </c>
      <c r="D381" s="33">
        <v>2046</v>
      </c>
    </row>
    <row r="382" spans="2:4" x14ac:dyDescent="0.25">
      <c r="B382" s="35">
        <v>53693</v>
      </c>
      <c r="C382" s="34" t="s">
        <v>28</v>
      </c>
      <c r="D382" s="33">
        <v>2047</v>
      </c>
    </row>
    <row r="383" spans="2:4" x14ac:dyDescent="0.25">
      <c r="B383" s="35">
        <v>53748</v>
      </c>
      <c r="C383" s="34" t="s">
        <v>27</v>
      </c>
      <c r="D383" s="33">
        <v>2047</v>
      </c>
    </row>
    <row r="384" spans="2:4" x14ac:dyDescent="0.25">
      <c r="B384" s="35">
        <v>53749</v>
      </c>
      <c r="C384" s="34" t="s">
        <v>27</v>
      </c>
      <c r="D384" s="33">
        <v>2047</v>
      </c>
    </row>
    <row r="385" spans="2:4" x14ac:dyDescent="0.25">
      <c r="B385" s="35">
        <v>53794</v>
      </c>
      <c r="C385" s="34" t="s">
        <v>26</v>
      </c>
      <c r="D385" s="33">
        <v>2047</v>
      </c>
    </row>
    <row r="386" spans="2:4" x14ac:dyDescent="0.25">
      <c r="B386" s="35">
        <v>53803</v>
      </c>
      <c r="C386" s="34" t="s">
        <v>25</v>
      </c>
      <c r="D386" s="33">
        <v>2047</v>
      </c>
    </row>
    <row r="387" spans="2:4" x14ac:dyDescent="0.25">
      <c r="B387" s="35">
        <v>53796</v>
      </c>
      <c r="C387" s="34" t="s">
        <v>24</v>
      </c>
      <c r="D387" s="33">
        <v>2047</v>
      </c>
    </row>
    <row r="388" spans="2:4" x14ac:dyDescent="0.25">
      <c r="B388" s="35">
        <v>53813</v>
      </c>
      <c r="C388" s="34" t="s">
        <v>23</v>
      </c>
      <c r="D388" s="33">
        <v>2047</v>
      </c>
    </row>
    <row r="389" spans="2:4" x14ac:dyDescent="0.25">
      <c r="B389" s="35">
        <v>53856</v>
      </c>
      <c r="C389" s="34" t="s">
        <v>22</v>
      </c>
      <c r="D389" s="33">
        <v>2047</v>
      </c>
    </row>
    <row r="390" spans="2:4" x14ac:dyDescent="0.25">
      <c r="B390" s="35">
        <v>53942</v>
      </c>
      <c r="C390" s="34" t="s">
        <v>21</v>
      </c>
      <c r="D390" s="33">
        <v>2047</v>
      </c>
    </row>
    <row r="391" spans="2:4" x14ac:dyDescent="0.25">
      <c r="B391" s="35">
        <v>53977</v>
      </c>
      <c r="C391" s="34" t="s">
        <v>20</v>
      </c>
      <c r="D391" s="33">
        <v>2047</v>
      </c>
    </row>
    <row r="392" spans="2:4" x14ac:dyDescent="0.25">
      <c r="B392" s="35">
        <v>53998</v>
      </c>
      <c r="C392" s="34" t="s">
        <v>19</v>
      </c>
      <c r="D392" s="33">
        <v>2047</v>
      </c>
    </row>
    <row r="393" spans="2:4" x14ac:dyDescent="0.25">
      <c r="B393" s="35">
        <v>54011</v>
      </c>
      <c r="C393" s="34" t="s">
        <v>18</v>
      </c>
      <c r="D393" s="33">
        <v>2047</v>
      </c>
    </row>
    <row r="394" spans="2:4" x14ac:dyDescent="0.25">
      <c r="B394" s="35">
        <v>54051</v>
      </c>
      <c r="C394" s="34" t="s">
        <v>17</v>
      </c>
      <c r="D394" s="33">
        <v>2047</v>
      </c>
    </row>
    <row r="395" spans="2:4" x14ac:dyDescent="0.25">
      <c r="B395" s="35">
        <v>54058</v>
      </c>
      <c r="C395" s="34" t="s">
        <v>28</v>
      </c>
      <c r="D395" s="33">
        <v>2048</v>
      </c>
    </row>
    <row r="396" spans="2:4" x14ac:dyDescent="0.25">
      <c r="B396" s="35">
        <v>54105</v>
      </c>
      <c r="C396" s="34" t="s">
        <v>27</v>
      </c>
      <c r="D396" s="33">
        <v>2048</v>
      </c>
    </row>
    <row r="397" spans="2:4" x14ac:dyDescent="0.25">
      <c r="B397" s="35">
        <v>54106</v>
      </c>
      <c r="C397" s="34" t="s">
        <v>27</v>
      </c>
      <c r="D397" s="33">
        <v>2048</v>
      </c>
    </row>
    <row r="398" spans="2:4" x14ac:dyDescent="0.25">
      <c r="B398" s="35">
        <v>54151</v>
      </c>
      <c r="C398" s="34" t="s">
        <v>26</v>
      </c>
      <c r="D398" s="33">
        <v>2048</v>
      </c>
    </row>
    <row r="399" spans="2:4" x14ac:dyDescent="0.25">
      <c r="B399" s="35">
        <v>54169</v>
      </c>
      <c r="C399" s="34" t="s">
        <v>25</v>
      </c>
      <c r="D399" s="33">
        <v>2048</v>
      </c>
    </row>
    <row r="400" spans="2:4" x14ac:dyDescent="0.25">
      <c r="B400" s="35">
        <v>54153</v>
      </c>
      <c r="C400" s="34" t="s">
        <v>24</v>
      </c>
      <c r="D400" s="33">
        <v>2048</v>
      </c>
    </row>
    <row r="401" spans="2:4" x14ac:dyDescent="0.25">
      <c r="B401" s="35">
        <v>54179</v>
      </c>
      <c r="C401" s="34" t="s">
        <v>23</v>
      </c>
      <c r="D401" s="33">
        <v>2048</v>
      </c>
    </row>
    <row r="402" spans="2:4" x14ac:dyDescent="0.25">
      <c r="B402" s="35">
        <v>54213</v>
      </c>
      <c r="C402" s="34" t="s">
        <v>22</v>
      </c>
      <c r="D402" s="33">
        <v>2048</v>
      </c>
    </row>
    <row r="403" spans="2:4" x14ac:dyDescent="0.25">
      <c r="B403" s="35">
        <v>54308</v>
      </c>
      <c r="C403" s="34" t="s">
        <v>21</v>
      </c>
      <c r="D403" s="33">
        <v>2048</v>
      </c>
    </row>
    <row r="404" spans="2:4" x14ac:dyDescent="0.25">
      <c r="B404" s="35">
        <v>54343</v>
      </c>
      <c r="C404" s="34" t="s">
        <v>20</v>
      </c>
      <c r="D404" s="33">
        <v>2048</v>
      </c>
    </row>
    <row r="405" spans="2:4" x14ac:dyDescent="0.25">
      <c r="B405" s="35">
        <v>54364</v>
      </c>
      <c r="C405" s="34" t="s">
        <v>19</v>
      </c>
      <c r="D405" s="33">
        <v>2048</v>
      </c>
    </row>
    <row r="406" spans="2:4" x14ac:dyDescent="0.25">
      <c r="B406" s="35">
        <v>54377</v>
      </c>
      <c r="C406" s="34" t="s">
        <v>18</v>
      </c>
      <c r="D406" s="33">
        <v>2048</v>
      </c>
    </row>
    <row r="407" spans="2:4" x14ac:dyDescent="0.25">
      <c r="B407" s="35">
        <v>54417</v>
      </c>
      <c r="C407" s="34" t="s">
        <v>17</v>
      </c>
      <c r="D407" s="33">
        <v>2048</v>
      </c>
    </row>
    <row r="408" spans="2:4" x14ac:dyDescent="0.25">
      <c r="B408" s="35">
        <v>54424</v>
      </c>
      <c r="C408" s="34" t="s">
        <v>28</v>
      </c>
      <c r="D408" s="33">
        <v>2049</v>
      </c>
    </row>
    <row r="409" spans="2:4" x14ac:dyDescent="0.25">
      <c r="B409" s="35">
        <v>54483</v>
      </c>
      <c r="C409" s="34" t="s">
        <v>27</v>
      </c>
      <c r="D409" s="33">
        <v>2049</v>
      </c>
    </row>
    <row r="410" spans="2:4" x14ac:dyDescent="0.25">
      <c r="B410" s="35">
        <v>54484</v>
      </c>
      <c r="C410" s="34" t="s">
        <v>27</v>
      </c>
      <c r="D410" s="33">
        <v>2049</v>
      </c>
    </row>
    <row r="411" spans="2:4" x14ac:dyDescent="0.25">
      <c r="B411" s="35">
        <v>54529</v>
      </c>
      <c r="C411" s="34" t="s">
        <v>26</v>
      </c>
      <c r="D411" s="33">
        <v>2049</v>
      </c>
    </row>
    <row r="412" spans="2:4" x14ac:dyDescent="0.25">
      <c r="B412" s="35">
        <v>54534</v>
      </c>
      <c r="C412" s="34" t="s">
        <v>25</v>
      </c>
      <c r="D412" s="33">
        <v>2049</v>
      </c>
    </row>
    <row r="413" spans="2:4" x14ac:dyDescent="0.25">
      <c r="B413" s="35">
        <v>54531</v>
      </c>
      <c r="C413" s="34" t="s">
        <v>24</v>
      </c>
      <c r="D413" s="33">
        <v>2049</v>
      </c>
    </row>
    <row r="414" spans="2:4" x14ac:dyDescent="0.25">
      <c r="B414" s="35">
        <v>54544</v>
      </c>
      <c r="C414" s="34" t="s">
        <v>23</v>
      </c>
      <c r="D414" s="33">
        <v>2049</v>
      </c>
    </row>
    <row r="415" spans="2:4" x14ac:dyDescent="0.25">
      <c r="B415" s="35">
        <v>54591</v>
      </c>
      <c r="C415" s="34" t="s">
        <v>22</v>
      </c>
      <c r="D415" s="33">
        <v>2049</v>
      </c>
    </row>
    <row r="416" spans="2:4" x14ac:dyDescent="0.25">
      <c r="B416" s="35">
        <v>54673</v>
      </c>
      <c r="C416" s="34" t="s">
        <v>21</v>
      </c>
      <c r="D416" s="33">
        <v>2049</v>
      </c>
    </row>
    <row r="417" spans="2:4" x14ac:dyDescent="0.25">
      <c r="B417" s="35">
        <v>54708</v>
      </c>
      <c r="C417" s="34" t="s">
        <v>20</v>
      </c>
      <c r="D417" s="33">
        <v>2049</v>
      </c>
    </row>
    <row r="418" spans="2:4" x14ac:dyDescent="0.25">
      <c r="B418" s="35">
        <v>54729</v>
      </c>
      <c r="C418" s="34" t="s">
        <v>19</v>
      </c>
      <c r="D418" s="33">
        <v>2049</v>
      </c>
    </row>
    <row r="419" spans="2:4" x14ac:dyDescent="0.25">
      <c r="B419" s="35">
        <v>54742</v>
      </c>
      <c r="C419" s="34" t="s">
        <v>18</v>
      </c>
      <c r="D419" s="33">
        <v>2049</v>
      </c>
    </row>
    <row r="420" spans="2:4" x14ac:dyDescent="0.25">
      <c r="B420" s="35">
        <v>54782</v>
      </c>
      <c r="C420" s="34" t="s">
        <v>17</v>
      </c>
      <c r="D420" s="33">
        <v>2049</v>
      </c>
    </row>
    <row r="421" spans="2:4" x14ac:dyDescent="0.25">
      <c r="B421" s="35">
        <v>54789</v>
      </c>
      <c r="C421" s="34" t="s">
        <v>28</v>
      </c>
      <c r="D421" s="33">
        <v>2050</v>
      </c>
    </row>
    <row r="422" spans="2:4" x14ac:dyDescent="0.25">
      <c r="B422" s="35">
        <v>54840</v>
      </c>
      <c r="C422" s="34" t="s">
        <v>27</v>
      </c>
      <c r="D422" s="33">
        <v>2050</v>
      </c>
    </row>
    <row r="423" spans="2:4" x14ac:dyDescent="0.25">
      <c r="B423" s="35">
        <v>54841</v>
      </c>
      <c r="C423" s="34" t="s">
        <v>27</v>
      </c>
      <c r="D423" s="33">
        <v>2050</v>
      </c>
    </row>
    <row r="424" spans="2:4" x14ac:dyDescent="0.25">
      <c r="B424" s="35">
        <v>54886</v>
      </c>
      <c r="C424" s="34" t="s">
        <v>26</v>
      </c>
      <c r="D424" s="33">
        <v>2050</v>
      </c>
    </row>
    <row r="425" spans="2:4" x14ac:dyDescent="0.25">
      <c r="B425" s="35">
        <v>54899</v>
      </c>
      <c r="C425" s="34" t="s">
        <v>25</v>
      </c>
      <c r="D425" s="33">
        <v>2050</v>
      </c>
    </row>
    <row r="426" spans="2:4" x14ac:dyDescent="0.25">
      <c r="B426" s="35">
        <v>54888</v>
      </c>
      <c r="C426" s="34" t="s">
        <v>24</v>
      </c>
      <c r="D426" s="33">
        <v>2050</v>
      </c>
    </row>
    <row r="427" spans="2:4" x14ac:dyDescent="0.25">
      <c r="B427" s="35">
        <v>54909</v>
      </c>
      <c r="C427" s="34" t="s">
        <v>23</v>
      </c>
      <c r="D427" s="33">
        <v>2050</v>
      </c>
    </row>
    <row r="428" spans="2:4" x14ac:dyDescent="0.25">
      <c r="B428" s="35">
        <v>54948</v>
      </c>
      <c r="C428" s="34" t="s">
        <v>22</v>
      </c>
      <c r="D428" s="33">
        <v>2050</v>
      </c>
    </row>
    <row r="429" spans="2:4" x14ac:dyDescent="0.25">
      <c r="B429" s="35">
        <v>55038</v>
      </c>
      <c r="C429" s="34" t="s">
        <v>21</v>
      </c>
      <c r="D429" s="33">
        <v>2050</v>
      </c>
    </row>
    <row r="430" spans="2:4" x14ac:dyDescent="0.25">
      <c r="B430" s="35">
        <v>55073</v>
      </c>
      <c r="C430" s="34" t="s">
        <v>20</v>
      </c>
      <c r="D430" s="33">
        <v>2050</v>
      </c>
    </row>
    <row r="431" spans="2:4" x14ac:dyDescent="0.25">
      <c r="B431" s="35">
        <v>55094</v>
      </c>
      <c r="C431" s="34" t="s">
        <v>19</v>
      </c>
      <c r="D431" s="33">
        <v>2050</v>
      </c>
    </row>
    <row r="432" spans="2:4" x14ac:dyDescent="0.25">
      <c r="B432" s="35">
        <v>55107</v>
      </c>
      <c r="C432" s="34" t="s">
        <v>18</v>
      </c>
      <c r="D432" s="33">
        <v>2050</v>
      </c>
    </row>
    <row r="433" spans="2:4" x14ac:dyDescent="0.25">
      <c r="B433" s="32">
        <v>55147</v>
      </c>
      <c r="C433" s="31" t="s">
        <v>17</v>
      </c>
      <c r="D433" s="30">
        <v>2050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Folha1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Melquiades Moreira</dc:creator>
  <cp:lastModifiedBy>Gustavo Melquiades Moreira</cp:lastModifiedBy>
  <dcterms:created xsi:type="dcterms:W3CDTF">2025-05-12T20:56:40Z</dcterms:created>
  <dcterms:modified xsi:type="dcterms:W3CDTF">2025-05-19T20:27:37Z</dcterms:modified>
</cp:coreProperties>
</file>